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alexeymoroz/Desktop/Algo Bots/"/>
    </mc:Choice>
  </mc:AlternateContent>
  <xr:revisionPtr revIDLastSave="0" documentId="8_{5096ED31-0ADA-9E44-B4E8-CA507AD868A9}" xr6:coauthVersionLast="47" xr6:coauthVersionMax="47" xr10:uidLastSave="{00000000-0000-0000-0000-000000000000}"/>
  <bookViews>
    <workbookView xWindow="0" yWindow="680" windowWidth="24200" windowHeight="14480" activeTab="3" xr2:uid="{FA24333F-9034-4E85-8980-F3384C0842B7}"/>
  </bookViews>
  <sheets>
    <sheet name="Spreads" sheetId="3" r:id="rId1"/>
    <sheet name="AComb" sheetId="6" r:id="rId2"/>
    <sheet name="Backup" sheetId="1" r:id="rId3"/>
    <sheet name="CME Data" sheetId="5" r:id="rId4"/>
  </sheets>
  <definedNames>
    <definedName name="_xlnm._FilterDatabase" localSheetId="2" hidden="1">Backup!$P$2:$V$415</definedName>
    <definedName name="_xlnm._FilterDatabase" localSheetId="3" hidden="1">'CME Data'!$A$2:$G$426</definedName>
    <definedName name="_xlnm._FilterDatabase" localSheetId="0" hidden="1">Spreads!$Q$2:$W$415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5" l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3" i="5"/>
  <c r="J287" i="5"/>
  <c r="J288" i="5"/>
  <c r="J289" i="5"/>
  <c r="J290" i="5"/>
  <c r="J291" i="5"/>
  <c r="J292" i="5"/>
  <c r="J293" i="5"/>
  <c r="J294" i="5"/>
  <c r="J295" i="5"/>
  <c r="J296" i="5"/>
  <c r="J411" i="5"/>
  <c r="J412" i="5"/>
  <c r="J413" i="5"/>
  <c r="J414" i="5"/>
  <c r="J415" i="5"/>
  <c r="J416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63" i="5"/>
  <c r="J164" i="5"/>
  <c r="J165" i="5"/>
  <c r="J166" i="5"/>
  <c r="J167" i="5"/>
  <c r="J168" i="5"/>
  <c r="J169" i="5"/>
  <c r="J170" i="5"/>
  <c r="J171" i="5"/>
  <c r="J3" i="5"/>
  <c r="I4" i="5" a="1"/>
  <c r="I4" i="5" s="1"/>
  <c r="I5" i="5" a="1"/>
  <c r="I5" i="5" s="1"/>
  <c r="I6" i="5" a="1"/>
  <c r="I6" i="5" s="1"/>
  <c r="I7" i="5" a="1"/>
  <c r="I7" i="5" s="1"/>
  <c r="I8" i="5" a="1"/>
  <c r="I8" i="5" s="1"/>
  <c r="I9" i="5" a="1"/>
  <c r="I9" i="5" s="1"/>
  <c r="I10" i="5" a="1"/>
  <c r="I10" i="5" s="1"/>
  <c r="I11" i="5" a="1"/>
  <c r="I11" i="5" s="1"/>
  <c r="I12" i="5" a="1"/>
  <c r="I12" i="5" s="1"/>
  <c r="I13" i="5" a="1"/>
  <c r="I13" i="5" s="1"/>
  <c r="I14" i="5" a="1"/>
  <c r="I14" i="5" s="1"/>
  <c r="I15" i="5" a="1"/>
  <c r="I15" i="5" s="1"/>
  <c r="I16" i="5" a="1"/>
  <c r="I16" i="5" s="1"/>
  <c r="I17" i="5" a="1"/>
  <c r="I17" i="5" s="1"/>
  <c r="I18" i="5" a="1"/>
  <c r="I18" i="5" s="1"/>
  <c r="I19" i="5" a="1"/>
  <c r="I19" i="5" s="1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 s="1"/>
  <c r="I43" i="5" a="1"/>
  <c r="I43" i="5" s="1"/>
  <c r="I44" i="5" a="1"/>
  <c r="I44" i="5" s="1"/>
  <c r="I45" i="5" a="1"/>
  <c r="I45" i="5" s="1"/>
  <c r="I46" i="5" a="1"/>
  <c r="I46" i="5" s="1"/>
  <c r="I47" i="5" a="1"/>
  <c r="I47" i="5" s="1"/>
  <c r="I48" i="5" a="1"/>
  <c r="I48" i="5" s="1"/>
  <c r="I49" i="5" a="1"/>
  <c r="I49" i="5" s="1"/>
  <c r="I50" i="5" a="1"/>
  <c r="I50" i="5" s="1"/>
  <c r="I51" i="5" a="1"/>
  <c r="I51" i="5" s="1"/>
  <c r="I52" i="5" a="1"/>
  <c r="I52" i="5" s="1"/>
  <c r="I53" i="5" a="1"/>
  <c r="I53" i="5" s="1"/>
  <c r="I54" i="5" a="1"/>
  <c r="I54" i="5" s="1"/>
  <c r="I55" i="5" a="1"/>
  <c r="I55" i="5" s="1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 s="1"/>
  <c r="I62" i="5" a="1"/>
  <c r="I62" i="5" s="1"/>
  <c r="I63" i="5" a="1"/>
  <c r="I63" i="5" s="1"/>
  <c r="I64" i="5" a="1"/>
  <c r="I64" i="5" s="1"/>
  <c r="I65" i="5" a="1"/>
  <c r="I65" i="5" s="1"/>
  <c r="I66" i="5" a="1"/>
  <c r="I66" i="5" s="1"/>
  <c r="I67" i="5" a="1"/>
  <c r="I67" i="5" s="1"/>
  <c r="I68" i="5" a="1"/>
  <c r="I68" i="5" s="1"/>
  <c r="I69" i="5" a="1"/>
  <c r="I69" i="5" s="1"/>
  <c r="I70" i="5" a="1"/>
  <c r="I70" i="5" s="1"/>
  <c r="I71" i="5" a="1"/>
  <c r="I71" i="5" s="1"/>
  <c r="I72" i="5" a="1"/>
  <c r="I72" i="5" s="1"/>
  <c r="I73" i="5" a="1"/>
  <c r="I73" i="5" s="1"/>
  <c r="I74" i="5" a="1"/>
  <c r="I74" i="5" s="1"/>
  <c r="I75" i="5" a="1"/>
  <c r="I75" i="5" s="1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 s="1"/>
  <c r="I82" i="5" a="1"/>
  <c r="I82" i="5" s="1"/>
  <c r="I83" i="5" a="1"/>
  <c r="I83" i="5" s="1"/>
  <c r="I84" i="5" a="1"/>
  <c r="I84" i="5" s="1"/>
  <c r="I85" i="5" a="1"/>
  <c r="I85" i="5" s="1"/>
  <c r="I86" i="5" a="1"/>
  <c r="I86" i="5" s="1"/>
  <c r="I87" i="5" a="1"/>
  <c r="I87" i="5" s="1"/>
  <c r="I88" i="5" a="1"/>
  <c r="I88" i="5" s="1"/>
  <c r="I89" i="5" a="1"/>
  <c r="I89" i="5" s="1"/>
  <c r="I90" i="5" a="1"/>
  <c r="I90" i="5" s="1"/>
  <c r="I91" i="5" a="1"/>
  <c r="I91" i="5" s="1"/>
  <c r="I92" i="5" a="1"/>
  <c r="I92" i="5" s="1"/>
  <c r="I93" i="5" a="1"/>
  <c r="I93" i="5" s="1"/>
  <c r="I94" i="5" a="1"/>
  <c r="I94" i="5" s="1"/>
  <c r="I95" i="5" a="1"/>
  <c r="I95" i="5" s="1"/>
  <c r="I96" i="5" a="1"/>
  <c r="I96" i="5" s="1"/>
  <c r="I97" i="5" a="1"/>
  <c r="I97" i="5" s="1"/>
  <c r="I98" i="5" a="1"/>
  <c r="I98" i="5" s="1"/>
  <c r="I99" i="5" a="1"/>
  <c r="I99" i="5" s="1"/>
  <c r="I100" i="5" a="1"/>
  <c r="I100" i="5" s="1"/>
  <c r="I101" i="5" a="1"/>
  <c r="I101" i="5" s="1"/>
  <c r="I102" i="5" a="1"/>
  <c r="I102" i="5" s="1"/>
  <c r="I103" i="5" a="1"/>
  <c r="I103" i="5" s="1"/>
  <c r="I104" i="5" a="1"/>
  <c r="I104" i="5" s="1"/>
  <c r="I105" i="5" a="1"/>
  <c r="I105" i="5" s="1"/>
  <c r="I106" i="5" a="1"/>
  <c r="I106" i="5" s="1"/>
  <c r="I107" i="5" a="1"/>
  <c r="I107" i="5" s="1"/>
  <c r="I108" i="5" a="1"/>
  <c r="I108" i="5" s="1"/>
  <c r="I109" i="5" a="1"/>
  <c r="I109" i="5" s="1"/>
  <c r="I110" i="5" a="1"/>
  <c r="I110" i="5" s="1"/>
  <c r="I111" i="5" a="1"/>
  <c r="I111" i="5" s="1"/>
  <c r="I112" i="5" a="1"/>
  <c r="I112" i="5" s="1"/>
  <c r="I113" i="5" a="1"/>
  <c r="I113" i="5" s="1"/>
  <c r="I114" i="5" a="1"/>
  <c r="I114" i="5" s="1"/>
  <c r="I115" i="5" a="1"/>
  <c r="I115" i="5"/>
  <c r="I116" i="5" a="1"/>
  <c r="I116" i="5"/>
  <c r="I117" i="5" a="1"/>
  <c r="I117" i="5"/>
  <c r="I118" i="5" a="1"/>
  <c r="I118" i="5"/>
  <c r="I119" i="5" a="1"/>
  <c r="I119" i="5"/>
  <c r="I120" i="5" a="1"/>
  <c r="I120" i="5"/>
  <c r="I121" i="5" a="1"/>
  <c r="I121" i="5"/>
  <c r="I122" i="5" a="1"/>
  <c r="I122" i="5"/>
  <c r="I123" i="5" a="1"/>
  <c r="I123" i="5" s="1"/>
  <c r="I124" i="5" a="1"/>
  <c r="I124" i="5" s="1"/>
  <c r="I125" i="5" a="1"/>
  <c r="I125" i="5" s="1"/>
  <c r="I126" i="5" a="1"/>
  <c r="I126" i="5" s="1"/>
  <c r="I127" i="5" a="1"/>
  <c r="I127" i="5" s="1"/>
  <c r="I128" i="5" a="1"/>
  <c r="I128" i="5" s="1"/>
  <c r="I129" i="5" a="1"/>
  <c r="I129" i="5" s="1"/>
  <c r="I130" i="5" a="1"/>
  <c r="I130" i="5" s="1"/>
  <c r="I131" i="5" a="1"/>
  <c r="I131" i="5" s="1"/>
  <c r="I132" i="5" a="1"/>
  <c r="I132" i="5" s="1"/>
  <c r="I133" i="5" a="1"/>
  <c r="I133" i="5" s="1"/>
  <c r="I134" i="5" a="1"/>
  <c r="I134" i="5" s="1"/>
  <c r="I135" i="5" a="1"/>
  <c r="I135" i="5" s="1"/>
  <c r="I136" i="5" a="1"/>
  <c r="I136" i="5" s="1"/>
  <c r="I137" i="5" a="1"/>
  <c r="I137" i="5" s="1"/>
  <c r="I138" i="5" a="1"/>
  <c r="I138" i="5" s="1"/>
  <c r="I139" i="5" a="1"/>
  <c r="I139" i="5" s="1"/>
  <c r="J139" i="5" s="1"/>
  <c r="I140" i="5" a="1"/>
  <c r="I140" i="5" s="1"/>
  <c r="J140" i="5" s="1"/>
  <c r="I141" i="5" a="1"/>
  <c r="I141" i="5" s="1"/>
  <c r="J141" i="5" s="1"/>
  <c r="I142" i="5" a="1"/>
  <c r="I142" i="5" s="1"/>
  <c r="J142" i="5" s="1"/>
  <c r="I143" i="5" a="1"/>
  <c r="I143" i="5" s="1"/>
  <c r="J143" i="5" s="1"/>
  <c r="I144" i="5" a="1"/>
  <c r="I144" i="5" s="1"/>
  <c r="J144" i="5" s="1"/>
  <c r="I145" i="5" a="1"/>
  <c r="I145" i="5" s="1"/>
  <c r="J145" i="5" s="1"/>
  <c r="I146" i="5" a="1"/>
  <c r="I146" i="5" s="1"/>
  <c r="J146" i="5" s="1"/>
  <c r="I147" i="5" a="1"/>
  <c r="I147" i="5" s="1"/>
  <c r="J147" i="5" s="1"/>
  <c r="I148" i="5" a="1"/>
  <c r="I148" i="5" s="1"/>
  <c r="J148" i="5" s="1"/>
  <c r="I149" i="5" a="1"/>
  <c r="I149" i="5" s="1"/>
  <c r="J149" i="5" s="1"/>
  <c r="I150" i="5" a="1"/>
  <c r="I150" i="5" s="1"/>
  <c r="J150" i="5" s="1"/>
  <c r="I151" i="5" a="1"/>
  <c r="I151" i="5" s="1"/>
  <c r="J151" i="5" s="1"/>
  <c r="I152" i="5" a="1"/>
  <c r="I152" i="5" s="1"/>
  <c r="J152" i="5" s="1"/>
  <c r="I153" i="5" a="1"/>
  <c r="I153" i="5" s="1"/>
  <c r="J153" i="5" s="1"/>
  <c r="I154" i="5" a="1"/>
  <c r="I154" i="5" s="1"/>
  <c r="J154" i="5" s="1"/>
  <c r="I155" i="5" a="1"/>
  <c r="I155" i="5" s="1"/>
  <c r="J155" i="5" s="1"/>
  <c r="I156" i="5" a="1"/>
  <c r="I156" i="5" s="1"/>
  <c r="J156" i="5" s="1"/>
  <c r="I157" i="5" a="1"/>
  <c r="I157" i="5" s="1"/>
  <c r="J157" i="5" s="1"/>
  <c r="I158" i="5" a="1"/>
  <c r="I158" i="5" s="1"/>
  <c r="J158" i="5" s="1"/>
  <c r="I159" i="5" a="1"/>
  <c r="I159" i="5" s="1"/>
  <c r="J159" i="5" s="1"/>
  <c r="I160" i="5" a="1"/>
  <c r="I160" i="5" s="1"/>
  <c r="J160" i="5" s="1"/>
  <c r="I161" i="5" a="1"/>
  <c r="I161" i="5" s="1"/>
  <c r="J161" i="5" s="1"/>
  <c r="I162" i="5" a="1"/>
  <c r="I162" i="5" s="1"/>
  <c r="J162" i="5" s="1"/>
  <c r="I163" i="5" a="1"/>
  <c r="I163" i="5" s="1"/>
  <c r="I164" i="5" a="1"/>
  <c r="I164" i="5" s="1"/>
  <c r="I165" i="5" a="1"/>
  <c r="I165" i="5" s="1"/>
  <c r="I166" i="5" a="1"/>
  <c r="I166" i="5" s="1"/>
  <c r="I167" i="5" a="1"/>
  <c r="I167" i="5" s="1"/>
  <c r="I168" i="5" a="1"/>
  <c r="I168" i="5" s="1"/>
  <c r="I169" i="5" a="1"/>
  <c r="I169" i="5" s="1"/>
  <c r="I170" i="5" a="1"/>
  <c r="I170" i="5" s="1"/>
  <c r="I171" i="5" a="1"/>
  <c r="I171" i="5" s="1"/>
  <c r="I172" i="5" a="1"/>
  <c r="I172" i="5" s="1"/>
  <c r="J172" i="5" s="1"/>
  <c r="I173" i="5" a="1"/>
  <c r="I173" i="5" s="1"/>
  <c r="J173" i="5" s="1"/>
  <c r="I174" i="5" a="1"/>
  <c r="I174" i="5" s="1"/>
  <c r="J174" i="5" s="1"/>
  <c r="I175" i="5" a="1"/>
  <c r="I175" i="5" s="1"/>
  <c r="J175" i="5" s="1"/>
  <c r="I176" i="5" a="1"/>
  <c r="I176" i="5" s="1"/>
  <c r="J176" i="5" s="1"/>
  <c r="I177" i="5" a="1"/>
  <c r="I177" i="5" s="1"/>
  <c r="J177" i="5" s="1"/>
  <c r="I178" i="5" a="1"/>
  <c r="I178" i="5" s="1"/>
  <c r="J178" i="5" s="1"/>
  <c r="I179" i="5" a="1"/>
  <c r="I179" i="5" s="1"/>
  <c r="J179" i="5" s="1"/>
  <c r="I180" i="5" a="1"/>
  <c r="I180" i="5" s="1"/>
  <c r="J180" i="5" s="1"/>
  <c r="I181" i="5" a="1"/>
  <c r="I181" i="5" s="1"/>
  <c r="J181" i="5" s="1"/>
  <c r="I182" i="5" a="1"/>
  <c r="I182" i="5" s="1"/>
  <c r="J182" i="5" s="1"/>
  <c r="I183" i="5" a="1"/>
  <c r="I183" i="5" s="1"/>
  <c r="J183" i="5" s="1"/>
  <c r="I184" i="5" a="1"/>
  <c r="I184" i="5" s="1"/>
  <c r="J184" i="5" s="1"/>
  <c r="I185" i="5" a="1"/>
  <c r="I185" i="5" s="1"/>
  <c r="J185" i="5" s="1"/>
  <c r="I186" i="5" a="1"/>
  <c r="I186" i="5" s="1"/>
  <c r="J186" i="5" s="1"/>
  <c r="I187" i="5" a="1"/>
  <c r="I187" i="5" s="1"/>
  <c r="J187" i="5" s="1"/>
  <c r="I188" i="5" a="1"/>
  <c r="I188" i="5" s="1"/>
  <c r="J188" i="5" s="1"/>
  <c r="I189" i="5" a="1"/>
  <c r="I189" i="5" s="1"/>
  <c r="J189" i="5" s="1"/>
  <c r="I190" i="5" a="1"/>
  <c r="I190" i="5" s="1"/>
  <c r="J190" i="5" s="1"/>
  <c r="I191" i="5" a="1"/>
  <c r="I191" i="5" s="1"/>
  <c r="J191" i="5" s="1"/>
  <c r="I192" i="5" a="1"/>
  <c r="I192" i="5" s="1"/>
  <c r="J192" i="5" s="1"/>
  <c r="I193" i="5" a="1"/>
  <c r="I193" i="5" s="1"/>
  <c r="J193" i="5" s="1"/>
  <c r="I194" i="5" a="1"/>
  <c r="I194" i="5" s="1"/>
  <c r="J194" i="5" s="1"/>
  <c r="I195" i="5" a="1"/>
  <c r="I195" i="5" s="1"/>
  <c r="J195" i="5" s="1"/>
  <c r="I196" i="5" a="1"/>
  <c r="I196" i="5" s="1"/>
  <c r="J196" i="5" s="1"/>
  <c r="I197" i="5" a="1"/>
  <c r="I197" i="5" s="1"/>
  <c r="J197" i="5" s="1"/>
  <c r="I198" i="5" a="1"/>
  <c r="I198" i="5" s="1"/>
  <c r="J198" i="5" s="1"/>
  <c r="I199" i="5" a="1"/>
  <c r="I199" i="5" s="1"/>
  <c r="J199" i="5" s="1"/>
  <c r="I200" i="5" a="1"/>
  <c r="I200" i="5" s="1"/>
  <c r="J200" i="5" s="1"/>
  <c r="I201" i="5" a="1"/>
  <c r="I201" i="5" s="1"/>
  <c r="J201" i="5" s="1"/>
  <c r="I202" i="5" a="1"/>
  <c r="I202" i="5" s="1"/>
  <c r="J202" i="5" s="1"/>
  <c r="I203" i="5" a="1"/>
  <c r="I203" i="5" s="1"/>
  <c r="J203" i="5" s="1"/>
  <c r="I204" i="5" a="1"/>
  <c r="I204" i="5" s="1"/>
  <c r="J204" i="5" s="1"/>
  <c r="I205" i="5" a="1"/>
  <c r="I205" i="5" s="1"/>
  <c r="J205" i="5" s="1"/>
  <c r="I206" i="5" a="1"/>
  <c r="I206" i="5" s="1"/>
  <c r="J206" i="5" s="1"/>
  <c r="I207" i="5" a="1"/>
  <c r="I207" i="5" s="1"/>
  <c r="J207" i="5" s="1"/>
  <c r="I208" i="5" a="1"/>
  <c r="I208" i="5" s="1"/>
  <c r="J208" i="5" s="1"/>
  <c r="I209" i="5" a="1"/>
  <c r="I209" i="5" s="1"/>
  <c r="J209" i="5" s="1"/>
  <c r="I210" i="5" a="1"/>
  <c r="I210" i="5" s="1"/>
  <c r="J210" i="5" s="1"/>
  <c r="I211" i="5" a="1"/>
  <c r="I211" i="5" s="1"/>
  <c r="J211" i="5" s="1"/>
  <c r="I212" i="5" a="1"/>
  <c r="I212" i="5" s="1"/>
  <c r="J212" i="5" s="1"/>
  <c r="I213" i="5" a="1"/>
  <c r="I213" i="5" s="1"/>
  <c r="J213" i="5" s="1"/>
  <c r="I214" i="5" a="1"/>
  <c r="I214" i="5" s="1"/>
  <c r="J214" i="5" s="1"/>
  <c r="I215" i="5" a="1"/>
  <c r="I215" i="5" s="1"/>
  <c r="J215" i="5" s="1"/>
  <c r="I216" i="5" a="1"/>
  <c r="I216" i="5" s="1"/>
  <c r="J216" i="5" s="1"/>
  <c r="I217" i="5" a="1"/>
  <c r="I217" i="5" s="1"/>
  <c r="J217" i="5" s="1"/>
  <c r="I218" i="5" a="1"/>
  <c r="I218" i="5" s="1"/>
  <c r="J218" i="5" s="1"/>
  <c r="I219" i="5" a="1"/>
  <c r="I219" i="5" s="1"/>
  <c r="J219" i="5" s="1"/>
  <c r="I220" i="5" a="1"/>
  <c r="I220" i="5" s="1"/>
  <c r="J220" i="5" s="1"/>
  <c r="I221" i="5" a="1"/>
  <c r="I221" i="5" s="1"/>
  <c r="J221" i="5" s="1"/>
  <c r="I222" i="5" a="1"/>
  <c r="I222" i="5" s="1"/>
  <c r="J222" i="5" s="1"/>
  <c r="I223" i="5" a="1"/>
  <c r="I223" i="5" s="1"/>
  <c r="J223" i="5" s="1"/>
  <c r="I224" i="5" a="1"/>
  <c r="I224" i="5" s="1"/>
  <c r="J224" i="5" s="1"/>
  <c r="I225" i="5" a="1"/>
  <c r="I225" i="5" s="1"/>
  <c r="J225" i="5" s="1"/>
  <c r="I226" i="5" a="1"/>
  <c r="I226" i="5" s="1"/>
  <c r="J226" i="5" s="1"/>
  <c r="I227" i="5" a="1"/>
  <c r="I227" i="5" s="1"/>
  <c r="J227" i="5" s="1"/>
  <c r="I228" i="5" a="1"/>
  <c r="I228" i="5" s="1"/>
  <c r="J228" i="5" s="1"/>
  <c r="I229" i="5" a="1"/>
  <c r="I229" i="5" s="1"/>
  <c r="J229" i="5" s="1"/>
  <c r="I230" i="5" a="1"/>
  <c r="I230" i="5" s="1"/>
  <c r="J230" i="5" s="1"/>
  <c r="I231" i="5" a="1"/>
  <c r="I231" i="5" s="1"/>
  <c r="J231" i="5" s="1"/>
  <c r="I232" i="5" a="1"/>
  <c r="I232" i="5" s="1"/>
  <c r="J232" i="5" s="1"/>
  <c r="I233" i="5" a="1"/>
  <c r="I233" i="5" s="1"/>
  <c r="J233" i="5" s="1"/>
  <c r="I234" i="5" a="1"/>
  <c r="I234" i="5" s="1"/>
  <c r="J234" i="5" s="1"/>
  <c r="I235" i="5" a="1"/>
  <c r="I235" i="5" s="1"/>
  <c r="J235" i="5" s="1"/>
  <c r="I236" i="5" a="1"/>
  <c r="I236" i="5" s="1"/>
  <c r="J236" i="5" s="1"/>
  <c r="I237" i="5" a="1"/>
  <c r="I237" i="5" s="1"/>
  <c r="J237" i="5" s="1"/>
  <c r="I238" i="5" a="1"/>
  <c r="I238" i="5" s="1"/>
  <c r="J238" i="5" s="1"/>
  <c r="I239" i="5" a="1"/>
  <c r="I239" i="5" s="1"/>
  <c r="J239" i="5" s="1"/>
  <c r="I240" i="5" a="1"/>
  <c r="I240" i="5" s="1"/>
  <c r="J240" i="5" s="1"/>
  <c r="I241" i="5" a="1"/>
  <c r="I241" i="5" s="1"/>
  <c r="J241" i="5" s="1"/>
  <c r="I242" i="5" a="1"/>
  <c r="I242" i="5" s="1"/>
  <c r="J242" i="5" s="1"/>
  <c r="I243" i="5" a="1"/>
  <c r="I243" i="5" s="1"/>
  <c r="J243" i="5" s="1"/>
  <c r="I244" i="5" a="1"/>
  <c r="I244" i="5" s="1"/>
  <c r="J244" i="5" s="1"/>
  <c r="I245" i="5" a="1"/>
  <c r="I245" i="5" s="1"/>
  <c r="J245" i="5" s="1"/>
  <c r="I246" i="5" a="1"/>
  <c r="I246" i="5" s="1"/>
  <c r="J246" i="5" s="1"/>
  <c r="I247" i="5" a="1"/>
  <c r="I247" i="5" s="1"/>
  <c r="J247" i="5" s="1"/>
  <c r="I248" i="5" a="1"/>
  <c r="I248" i="5" s="1"/>
  <c r="J248" i="5" s="1"/>
  <c r="I249" i="5" a="1"/>
  <c r="I249" i="5" s="1"/>
  <c r="J249" i="5" s="1"/>
  <c r="I250" i="5" a="1"/>
  <c r="I250" i="5" s="1"/>
  <c r="J250" i="5" s="1"/>
  <c r="I251" i="5" a="1"/>
  <c r="I251" i="5" s="1"/>
  <c r="J251" i="5" s="1"/>
  <c r="I252" i="5" a="1"/>
  <c r="I252" i="5" s="1"/>
  <c r="J252" i="5" s="1"/>
  <c r="I253" i="5" a="1"/>
  <c r="I253" i="5" s="1"/>
  <c r="J253" i="5" s="1"/>
  <c r="I254" i="5" a="1"/>
  <c r="I254" i="5" s="1"/>
  <c r="J254" i="5" s="1"/>
  <c r="I255" i="5" a="1"/>
  <c r="I255" i="5" s="1"/>
  <c r="J255" i="5" s="1"/>
  <c r="I256" i="5" a="1"/>
  <c r="I256" i="5" s="1"/>
  <c r="J256" i="5" s="1"/>
  <c r="I257" i="5" a="1"/>
  <c r="I257" i="5" s="1"/>
  <c r="J257" i="5" s="1"/>
  <c r="I258" i="5" a="1"/>
  <c r="I258" i="5" s="1"/>
  <c r="J258" i="5" s="1"/>
  <c r="I259" i="5" a="1"/>
  <c r="I259" i="5" s="1"/>
  <c r="J259" i="5" s="1"/>
  <c r="I260" i="5" a="1"/>
  <c r="I260" i="5" s="1"/>
  <c r="J260" i="5" s="1"/>
  <c r="I261" i="5" a="1"/>
  <c r="I261" i="5" s="1"/>
  <c r="J261" i="5" s="1"/>
  <c r="I262" i="5" a="1"/>
  <c r="I262" i="5" s="1"/>
  <c r="J262" i="5" s="1"/>
  <c r="I263" i="5" a="1"/>
  <c r="I263" i="5" s="1"/>
  <c r="J263" i="5" s="1"/>
  <c r="I264" i="5" a="1"/>
  <c r="I264" i="5" s="1"/>
  <c r="J264" i="5" s="1"/>
  <c r="I265" i="5" a="1"/>
  <c r="I265" i="5" s="1"/>
  <c r="J265" i="5" s="1"/>
  <c r="I266" i="5" a="1"/>
  <c r="I266" i="5" s="1"/>
  <c r="J266" i="5" s="1"/>
  <c r="I267" i="5" a="1"/>
  <c r="I267" i="5" s="1"/>
  <c r="J267" i="5" s="1"/>
  <c r="I268" i="5" a="1"/>
  <c r="I268" i="5" s="1"/>
  <c r="J268" i="5" s="1"/>
  <c r="I269" i="5" a="1"/>
  <c r="I269" i="5" s="1"/>
  <c r="J269" i="5" s="1"/>
  <c r="I270" i="5" a="1"/>
  <c r="I270" i="5" s="1"/>
  <c r="J270" i="5" s="1"/>
  <c r="I271" i="5" a="1"/>
  <c r="I271" i="5" s="1"/>
  <c r="J271" i="5" s="1"/>
  <c r="I272" i="5" a="1"/>
  <c r="I272" i="5" s="1"/>
  <c r="J272" i="5" s="1"/>
  <c r="I273" i="5" a="1"/>
  <c r="I273" i="5" s="1"/>
  <c r="J273" i="5" s="1"/>
  <c r="I274" i="5" a="1"/>
  <c r="I274" i="5" s="1"/>
  <c r="J274" i="5" s="1"/>
  <c r="I275" i="5" a="1"/>
  <c r="I275" i="5" s="1"/>
  <c r="J275" i="5" s="1"/>
  <c r="I276" i="5" a="1"/>
  <c r="I276" i="5" s="1"/>
  <c r="J276" i="5" s="1"/>
  <c r="I277" i="5" a="1"/>
  <c r="I277" i="5" s="1"/>
  <c r="J277" i="5" s="1"/>
  <c r="I278" i="5" a="1"/>
  <c r="I278" i="5" s="1"/>
  <c r="J278" i="5" s="1"/>
  <c r="I279" i="5" a="1"/>
  <c r="I279" i="5" s="1"/>
  <c r="J279" i="5" s="1"/>
  <c r="I280" i="5" a="1"/>
  <c r="I280" i="5" s="1"/>
  <c r="J280" i="5" s="1"/>
  <c r="I281" i="5" a="1"/>
  <c r="I281" i="5" s="1"/>
  <c r="J281" i="5" s="1"/>
  <c r="I282" i="5" a="1"/>
  <c r="I282" i="5" s="1"/>
  <c r="J282" i="5" s="1"/>
  <c r="I283" i="5" a="1"/>
  <c r="I283" i="5" s="1"/>
  <c r="J283" i="5" s="1"/>
  <c r="I284" i="5" a="1"/>
  <c r="I284" i="5" s="1"/>
  <c r="J284" i="5" s="1"/>
  <c r="I285" i="5" a="1"/>
  <c r="I285" i="5" s="1"/>
  <c r="J285" i="5" s="1"/>
  <c r="I286" i="5" a="1"/>
  <c r="I286" i="5" s="1"/>
  <c r="J286" i="5" s="1"/>
  <c r="I287" i="5" a="1"/>
  <c r="I287" i="5" s="1"/>
  <c r="I288" i="5" a="1"/>
  <c r="I288" i="5" s="1"/>
  <c r="I289" i="5" a="1"/>
  <c r="I289" i="5" s="1"/>
  <c r="I290" i="5" a="1"/>
  <c r="I290" i="5" s="1"/>
  <c r="I291" i="5" a="1"/>
  <c r="I291" i="5" s="1"/>
  <c r="I292" i="5" a="1"/>
  <c r="I292" i="5" s="1"/>
  <c r="I293" i="5" a="1"/>
  <c r="I293" i="5" s="1"/>
  <c r="I294" i="5" a="1"/>
  <c r="I294" i="5" s="1"/>
  <c r="I295" i="5" a="1"/>
  <c r="I295" i="5" s="1"/>
  <c r="I296" i="5" a="1"/>
  <c r="I296" i="5" s="1"/>
  <c r="I297" i="5" a="1"/>
  <c r="I297" i="5" s="1"/>
  <c r="J297" i="5" s="1"/>
  <c r="I298" i="5" a="1"/>
  <c r="I298" i="5" s="1"/>
  <c r="J298" i="5" s="1"/>
  <c r="I299" i="5" a="1"/>
  <c r="I299" i="5" s="1"/>
  <c r="J299" i="5" s="1"/>
  <c r="I300" i="5" a="1"/>
  <c r="I300" i="5" s="1"/>
  <c r="J300" i="5" s="1"/>
  <c r="I301" i="5" a="1"/>
  <c r="I301" i="5" s="1"/>
  <c r="J301" i="5" s="1"/>
  <c r="I302" i="5" a="1"/>
  <c r="I302" i="5" s="1"/>
  <c r="J302" i="5" s="1"/>
  <c r="I303" i="5" a="1"/>
  <c r="I303" i="5" s="1"/>
  <c r="J303" i="5" s="1"/>
  <c r="I304" i="5" a="1"/>
  <c r="I304" i="5" s="1"/>
  <c r="J304" i="5" s="1"/>
  <c r="I305" i="5" a="1"/>
  <c r="I305" i="5" s="1"/>
  <c r="J305" i="5" s="1"/>
  <c r="I306" i="5" a="1"/>
  <c r="I306" i="5" s="1"/>
  <c r="J306" i="5" s="1"/>
  <c r="I307" i="5" a="1"/>
  <c r="I307" i="5" s="1"/>
  <c r="J307" i="5" s="1"/>
  <c r="I308" i="5" a="1"/>
  <c r="I308" i="5" s="1"/>
  <c r="J308" i="5" s="1"/>
  <c r="I309" i="5" a="1"/>
  <c r="I309" i="5" s="1"/>
  <c r="J309" i="5" s="1"/>
  <c r="I310" i="5" a="1"/>
  <c r="I310" i="5" s="1"/>
  <c r="J310" i="5" s="1"/>
  <c r="I311" i="5" a="1"/>
  <c r="I311" i="5" s="1"/>
  <c r="J311" i="5" s="1"/>
  <c r="I312" i="5" a="1"/>
  <c r="I312" i="5" s="1"/>
  <c r="J312" i="5" s="1"/>
  <c r="I313" i="5" a="1"/>
  <c r="I313" i="5" s="1"/>
  <c r="J313" i="5" s="1"/>
  <c r="I314" i="5" a="1"/>
  <c r="I314" i="5" s="1"/>
  <c r="J314" i="5" s="1"/>
  <c r="I315" i="5" a="1"/>
  <c r="I315" i="5" s="1"/>
  <c r="J315" i="5" s="1"/>
  <c r="I316" i="5" a="1"/>
  <c r="I316" i="5" s="1"/>
  <c r="J316" i="5" s="1"/>
  <c r="I317" i="5" a="1"/>
  <c r="I317" i="5" s="1"/>
  <c r="J317" i="5" s="1"/>
  <c r="I318" i="5" a="1"/>
  <c r="I318" i="5" s="1"/>
  <c r="J318" i="5" s="1"/>
  <c r="I319" i="5" a="1"/>
  <c r="I319" i="5" s="1"/>
  <c r="J319" i="5" s="1"/>
  <c r="I320" i="5" a="1"/>
  <c r="I320" i="5" s="1"/>
  <c r="J320" i="5" s="1"/>
  <c r="I321" i="5" a="1"/>
  <c r="I321" i="5" s="1"/>
  <c r="J321" i="5" s="1"/>
  <c r="I322" i="5" a="1"/>
  <c r="I322" i="5" s="1"/>
  <c r="J322" i="5" s="1"/>
  <c r="I323" i="5" a="1"/>
  <c r="I323" i="5" s="1"/>
  <c r="J323" i="5" s="1"/>
  <c r="I324" i="5" a="1"/>
  <c r="I324" i="5" s="1"/>
  <c r="J324" i="5" s="1"/>
  <c r="I325" i="5" a="1"/>
  <c r="I325" i="5" s="1"/>
  <c r="J325" i="5" s="1"/>
  <c r="I326" i="5" a="1"/>
  <c r="I326" i="5" s="1"/>
  <c r="J326" i="5" s="1"/>
  <c r="I327" i="5" a="1"/>
  <c r="I327" i="5" s="1"/>
  <c r="J327" i="5" s="1"/>
  <c r="I328" i="5" a="1"/>
  <c r="I328" i="5" s="1"/>
  <c r="J328" i="5" s="1"/>
  <c r="I329" i="5" a="1"/>
  <c r="I329" i="5" s="1"/>
  <c r="J329" i="5" s="1"/>
  <c r="I330" i="5" a="1"/>
  <c r="I330" i="5" s="1"/>
  <c r="J330" i="5" s="1"/>
  <c r="I331" i="5" a="1"/>
  <c r="I331" i="5" s="1"/>
  <c r="J331" i="5" s="1"/>
  <c r="I332" i="5" a="1"/>
  <c r="I332" i="5" s="1"/>
  <c r="J332" i="5" s="1"/>
  <c r="I333" i="5" a="1"/>
  <c r="I333" i="5" s="1"/>
  <c r="J333" i="5" s="1"/>
  <c r="I334" i="5" a="1"/>
  <c r="I334" i="5" s="1"/>
  <c r="J334" i="5" s="1"/>
  <c r="I335" i="5" a="1"/>
  <c r="I335" i="5" s="1"/>
  <c r="J335" i="5" s="1"/>
  <c r="I336" i="5" a="1"/>
  <c r="I336" i="5" s="1"/>
  <c r="J336" i="5" s="1"/>
  <c r="I337" i="5" a="1"/>
  <c r="I337" i="5" s="1"/>
  <c r="J337" i="5" s="1"/>
  <c r="I338" i="5" a="1"/>
  <c r="I338" i="5" s="1"/>
  <c r="J338" i="5" s="1"/>
  <c r="I339" i="5" a="1"/>
  <c r="I339" i="5" s="1"/>
  <c r="J339" i="5" s="1"/>
  <c r="I340" i="5" a="1"/>
  <c r="I340" i="5" s="1"/>
  <c r="J340" i="5" s="1"/>
  <c r="I341" i="5" a="1"/>
  <c r="I341" i="5" s="1"/>
  <c r="J341" i="5" s="1"/>
  <c r="I342" i="5" a="1"/>
  <c r="I342" i="5" s="1"/>
  <c r="J342" i="5" s="1"/>
  <c r="I343" i="5" a="1"/>
  <c r="I343" i="5" s="1"/>
  <c r="J343" i="5" s="1"/>
  <c r="I344" i="5" a="1"/>
  <c r="I344" i="5" s="1"/>
  <c r="J344" i="5" s="1"/>
  <c r="I345" i="5" a="1"/>
  <c r="I345" i="5" s="1"/>
  <c r="J345" i="5" s="1"/>
  <c r="I346" i="5" a="1"/>
  <c r="I346" i="5" s="1"/>
  <c r="J346" i="5" s="1"/>
  <c r="I347" i="5" a="1"/>
  <c r="I347" i="5" s="1"/>
  <c r="J347" i="5" s="1"/>
  <c r="I348" i="5" a="1"/>
  <c r="I348" i="5" s="1"/>
  <c r="J348" i="5" s="1"/>
  <c r="I349" i="5" a="1"/>
  <c r="I349" i="5" s="1"/>
  <c r="J349" i="5" s="1"/>
  <c r="I350" i="5" a="1"/>
  <c r="I350" i="5" s="1"/>
  <c r="J350" i="5" s="1"/>
  <c r="I351" i="5" a="1"/>
  <c r="I351" i="5" s="1"/>
  <c r="J351" i="5" s="1"/>
  <c r="I352" i="5" a="1"/>
  <c r="I352" i="5" s="1"/>
  <c r="J352" i="5" s="1"/>
  <c r="I353" i="5" a="1"/>
  <c r="I353" i="5" s="1"/>
  <c r="J353" i="5" s="1"/>
  <c r="I354" i="5" a="1"/>
  <c r="I354" i="5" s="1"/>
  <c r="J354" i="5" s="1"/>
  <c r="I355" i="5" a="1"/>
  <c r="I355" i="5" s="1"/>
  <c r="J355" i="5" s="1"/>
  <c r="I356" i="5" a="1"/>
  <c r="I356" i="5" s="1"/>
  <c r="J356" i="5" s="1"/>
  <c r="I357" i="5" a="1"/>
  <c r="I357" i="5" s="1"/>
  <c r="J357" i="5" s="1"/>
  <c r="I358" i="5" a="1"/>
  <c r="I358" i="5" s="1"/>
  <c r="J358" i="5" s="1"/>
  <c r="I359" i="5" a="1"/>
  <c r="I359" i="5" s="1"/>
  <c r="J359" i="5" s="1"/>
  <c r="I360" i="5" a="1"/>
  <c r="I360" i="5" s="1"/>
  <c r="J360" i="5" s="1"/>
  <c r="I361" i="5" a="1"/>
  <c r="I361" i="5" s="1"/>
  <c r="J361" i="5" s="1"/>
  <c r="I362" i="5" a="1"/>
  <c r="I362" i="5" s="1"/>
  <c r="J362" i="5" s="1"/>
  <c r="I363" i="5" a="1"/>
  <c r="I363" i="5" s="1"/>
  <c r="J363" i="5" s="1"/>
  <c r="I364" i="5" a="1"/>
  <c r="I364" i="5" s="1"/>
  <c r="J364" i="5" s="1"/>
  <c r="I365" i="5" a="1"/>
  <c r="I365" i="5" s="1"/>
  <c r="J365" i="5" s="1"/>
  <c r="I366" i="5" a="1"/>
  <c r="I366" i="5" s="1"/>
  <c r="J366" i="5" s="1"/>
  <c r="I367" i="5" a="1"/>
  <c r="I367" i="5" s="1"/>
  <c r="J367" i="5" s="1"/>
  <c r="I368" i="5" a="1"/>
  <c r="I368" i="5" s="1"/>
  <c r="J368" i="5" s="1"/>
  <c r="I369" i="5" a="1"/>
  <c r="I369" i="5" s="1"/>
  <c r="J369" i="5" s="1"/>
  <c r="I370" i="5" a="1"/>
  <c r="I370" i="5" s="1"/>
  <c r="J370" i="5" s="1"/>
  <c r="I371" i="5" a="1"/>
  <c r="I371" i="5" s="1"/>
  <c r="J371" i="5" s="1"/>
  <c r="I372" i="5" a="1"/>
  <c r="I372" i="5" s="1"/>
  <c r="J372" i="5" s="1"/>
  <c r="I373" i="5" a="1"/>
  <c r="I373" i="5" s="1"/>
  <c r="J373" i="5" s="1"/>
  <c r="I374" i="5" a="1"/>
  <c r="I374" i="5" s="1"/>
  <c r="J374" i="5" s="1"/>
  <c r="I375" i="5" a="1"/>
  <c r="I375" i="5" s="1"/>
  <c r="J375" i="5" s="1"/>
  <c r="I376" i="5" a="1"/>
  <c r="I376" i="5" s="1"/>
  <c r="J376" i="5" s="1"/>
  <c r="I377" i="5" a="1"/>
  <c r="I377" i="5" s="1"/>
  <c r="J377" i="5" s="1"/>
  <c r="I378" i="5" a="1"/>
  <c r="I378" i="5" s="1"/>
  <c r="J378" i="5" s="1"/>
  <c r="I379" i="5" a="1"/>
  <c r="I379" i="5" s="1"/>
  <c r="J379" i="5" s="1"/>
  <c r="I380" i="5" a="1"/>
  <c r="I380" i="5" s="1"/>
  <c r="J380" i="5" s="1"/>
  <c r="I381" i="5" a="1"/>
  <c r="I381" i="5" s="1"/>
  <c r="J381" i="5" s="1"/>
  <c r="I382" i="5" a="1"/>
  <c r="I382" i="5" s="1"/>
  <c r="J382" i="5" s="1"/>
  <c r="I383" i="5" a="1"/>
  <c r="I383" i="5" s="1"/>
  <c r="J383" i="5" s="1"/>
  <c r="I384" i="5" a="1"/>
  <c r="I384" i="5" s="1"/>
  <c r="J384" i="5" s="1"/>
  <c r="I385" i="5" a="1"/>
  <c r="I385" i="5" s="1"/>
  <c r="J385" i="5" s="1"/>
  <c r="I386" i="5" a="1"/>
  <c r="I386" i="5" s="1"/>
  <c r="J386" i="5" s="1"/>
  <c r="I387" i="5" a="1"/>
  <c r="I387" i="5" s="1"/>
  <c r="J387" i="5" s="1"/>
  <c r="I388" i="5" a="1"/>
  <c r="I388" i="5" s="1"/>
  <c r="J388" i="5" s="1"/>
  <c r="I389" i="5" a="1"/>
  <c r="I389" i="5" s="1"/>
  <c r="J389" i="5" s="1"/>
  <c r="I390" i="5" a="1"/>
  <c r="I390" i="5" s="1"/>
  <c r="J390" i="5" s="1"/>
  <c r="I391" i="5" a="1"/>
  <c r="I391" i="5" s="1"/>
  <c r="J391" i="5" s="1"/>
  <c r="I392" i="5" a="1"/>
  <c r="I392" i="5" s="1"/>
  <c r="J392" i="5" s="1"/>
  <c r="I393" i="5" a="1"/>
  <c r="I393" i="5" s="1"/>
  <c r="J393" i="5" s="1"/>
  <c r="I394" i="5" a="1"/>
  <c r="I394" i="5" s="1"/>
  <c r="J394" i="5" s="1"/>
  <c r="I395" i="5" a="1"/>
  <c r="I395" i="5" s="1"/>
  <c r="J395" i="5" s="1"/>
  <c r="I396" i="5" a="1"/>
  <c r="I396" i="5" s="1"/>
  <c r="J396" i="5" s="1"/>
  <c r="I397" i="5" a="1"/>
  <c r="I397" i="5" s="1"/>
  <c r="J397" i="5" s="1"/>
  <c r="I398" i="5" a="1"/>
  <c r="I398" i="5" s="1"/>
  <c r="J398" i="5" s="1"/>
  <c r="I399" i="5" a="1"/>
  <c r="I399" i="5" s="1"/>
  <c r="J399" i="5" s="1"/>
  <c r="I400" i="5" a="1"/>
  <c r="I400" i="5" s="1"/>
  <c r="J400" i="5" s="1"/>
  <c r="I401" i="5" a="1"/>
  <c r="I401" i="5" s="1"/>
  <c r="J401" i="5" s="1"/>
  <c r="I402" i="5" a="1"/>
  <c r="I402" i="5" s="1"/>
  <c r="J402" i="5" s="1"/>
  <c r="I403" i="5" a="1"/>
  <c r="I403" i="5" s="1"/>
  <c r="J403" i="5" s="1"/>
  <c r="I404" i="5" a="1"/>
  <c r="I404" i="5" s="1"/>
  <c r="J404" i="5" s="1"/>
  <c r="I405" i="5" a="1"/>
  <c r="I405" i="5" s="1"/>
  <c r="J405" i="5" s="1"/>
  <c r="I406" i="5" a="1"/>
  <c r="I406" i="5" s="1"/>
  <c r="J406" i="5" s="1"/>
  <c r="I407" i="5" a="1"/>
  <c r="I407" i="5" s="1"/>
  <c r="J407" i="5" s="1"/>
  <c r="I408" i="5" a="1"/>
  <c r="I408" i="5" s="1"/>
  <c r="J408" i="5" s="1"/>
  <c r="I409" i="5" a="1"/>
  <c r="I409" i="5" s="1"/>
  <c r="J409" i="5" s="1"/>
  <c r="I410" i="5" a="1"/>
  <c r="I410" i="5" s="1"/>
  <c r="J410" i="5" s="1"/>
  <c r="I411" i="5" a="1"/>
  <c r="I411" i="5" s="1"/>
  <c r="I412" i="5" a="1"/>
  <c r="I412" i="5" s="1"/>
  <c r="I413" i="5" a="1"/>
  <c r="I413" i="5" s="1"/>
  <c r="I414" i="5" a="1"/>
  <c r="I414" i="5" s="1"/>
  <c r="I415" i="5" a="1"/>
  <c r="I415" i="5" s="1"/>
  <c r="I416" i="5" a="1"/>
  <c r="I416" i="5" s="1"/>
  <c r="I417" i="5" a="1"/>
  <c r="I417" i="5" s="1"/>
  <c r="J417" i="5" s="1"/>
  <c r="I418" i="5" a="1"/>
  <c r="I418" i="5" s="1"/>
  <c r="J418" i="5" s="1"/>
  <c r="I419" i="5" a="1"/>
  <c r="I419" i="5" s="1"/>
  <c r="J419" i="5" s="1"/>
  <c r="I420" i="5" a="1"/>
  <c r="I420" i="5" s="1"/>
  <c r="J420" i="5" s="1"/>
  <c r="I421" i="5" a="1"/>
  <c r="I421" i="5" s="1"/>
  <c r="J421" i="5" s="1"/>
  <c r="I422" i="5" a="1"/>
  <c r="I422" i="5" s="1"/>
  <c r="J422" i="5" s="1"/>
  <c r="I423" i="5" a="1"/>
  <c r="I423" i="5" s="1"/>
  <c r="J423" i="5" s="1"/>
  <c r="I424" i="5" a="1"/>
  <c r="I424" i="5" s="1"/>
  <c r="J424" i="5" s="1"/>
  <c r="I425" i="5" a="1"/>
  <c r="I425" i="5" s="1"/>
  <c r="J425" i="5" s="1"/>
  <c r="I426" i="5" a="1"/>
  <c r="I426" i="5" s="1"/>
  <c r="J426" i="5" s="1"/>
  <c r="I3" i="5" a="1"/>
  <c r="I3" i="5" s="1"/>
  <c r="G426" i="5"/>
  <c r="H426" i="5" s="1"/>
  <c r="F426" i="5"/>
  <c r="G425" i="5"/>
  <c r="H425" i="5" s="1"/>
  <c r="F425" i="5"/>
  <c r="G424" i="5"/>
  <c r="H424" i="5" s="1"/>
  <c r="F424" i="5"/>
  <c r="G423" i="5"/>
  <c r="H423" i="5" s="1"/>
  <c r="F423" i="5"/>
  <c r="G422" i="5"/>
  <c r="H422" i="5" s="1"/>
  <c r="F422" i="5"/>
  <c r="G421" i="5"/>
  <c r="H421" i="5" s="1"/>
  <c r="F421" i="5"/>
  <c r="G420" i="5"/>
  <c r="H420" i="5" s="1"/>
  <c r="F420" i="5"/>
  <c r="G419" i="5"/>
  <c r="H419" i="5" s="1"/>
  <c r="F419" i="5"/>
  <c r="G418" i="5"/>
  <c r="H418" i="5" s="1"/>
  <c r="F418" i="5"/>
  <c r="G417" i="5"/>
  <c r="H417" i="5" s="1"/>
  <c r="F417" i="5"/>
  <c r="G416" i="5"/>
  <c r="H416" i="5" s="1"/>
  <c r="F416" i="5"/>
  <c r="G415" i="5"/>
  <c r="H415" i="5" s="1"/>
  <c r="F415" i="5"/>
  <c r="G414" i="5"/>
  <c r="H414" i="5" s="1"/>
  <c r="F414" i="5"/>
  <c r="G413" i="5"/>
  <c r="H413" i="5" s="1"/>
  <c r="F413" i="5"/>
  <c r="G412" i="5"/>
  <c r="H412" i="5" s="1"/>
  <c r="F412" i="5"/>
  <c r="G411" i="5"/>
  <c r="H411" i="5" s="1"/>
  <c r="F411" i="5"/>
  <c r="G410" i="5"/>
  <c r="H410" i="5" s="1"/>
  <c r="F410" i="5"/>
  <c r="G409" i="5"/>
  <c r="H409" i="5" s="1"/>
  <c r="F409" i="5"/>
  <c r="G408" i="5"/>
  <c r="H408" i="5" s="1"/>
  <c r="F408" i="5"/>
  <c r="G407" i="5"/>
  <c r="H407" i="5" s="1"/>
  <c r="F407" i="5"/>
  <c r="G406" i="5"/>
  <c r="H406" i="5" s="1"/>
  <c r="F406" i="5"/>
  <c r="G405" i="5"/>
  <c r="H405" i="5" s="1"/>
  <c r="F405" i="5"/>
  <c r="G404" i="5"/>
  <c r="H404" i="5" s="1"/>
  <c r="F404" i="5"/>
  <c r="G403" i="5"/>
  <c r="H403" i="5" s="1"/>
  <c r="F403" i="5"/>
  <c r="G402" i="5"/>
  <c r="H402" i="5" s="1"/>
  <c r="F402" i="5"/>
  <c r="G401" i="5"/>
  <c r="H401" i="5" s="1"/>
  <c r="F401" i="5"/>
  <c r="G400" i="5"/>
  <c r="H400" i="5" s="1"/>
  <c r="F400" i="5"/>
  <c r="G399" i="5"/>
  <c r="H399" i="5" s="1"/>
  <c r="F399" i="5"/>
  <c r="G398" i="5"/>
  <c r="H398" i="5" s="1"/>
  <c r="F398" i="5"/>
  <c r="G397" i="5"/>
  <c r="H397" i="5" s="1"/>
  <c r="F397" i="5"/>
  <c r="G396" i="5"/>
  <c r="H396" i="5" s="1"/>
  <c r="F396" i="5"/>
  <c r="G395" i="5"/>
  <c r="H395" i="5" s="1"/>
  <c r="F395" i="5"/>
  <c r="G394" i="5"/>
  <c r="H394" i="5" s="1"/>
  <c r="F394" i="5"/>
  <c r="G393" i="5"/>
  <c r="H393" i="5" s="1"/>
  <c r="F393" i="5"/>
  <c r="G392" i="5"/>
  <c r="H392" i="5" s="1"/>
  <c r="F392" i="5"/>
  <c r="G391" i="5"/>
  <c r="H391" i="5" s="1"/>
  <c r="F391" i="5"/>
  <c r="G390" i="5"/>
  <c r="H390" i="5" s="1"/>
  <c r="F390" i="5"/>
  <c r="G389" i="5"/>
  <c r="H389" i="5" s="1"/>
  <c r="F389" i="5"/>
  <c r="G388" i="5"/>
  <c r="H388" i="5" s="1"/>
  <c r="F388" i="5"/>
  <c r="G387" i="5"/>
  <c r="H387" i="5" s="1"/>
  <c r="F387" i="5"/>
  <c r="G386" i="5"/>
  <c r="H386" i="5" s="1"/>
  <c r="F386" i="5"/>
  <c r="G385" i="5"/>
  <c r="H385" i="5" s="1"/>
  <c r="F385" i="5"/>
  <c r="G384" i="5"/>
  <c r="H384" i="5" s="1"/>
  <c r="F384" i="5"/>
  <c r="G383" i="5"/>
  <c r="H383" i="5" s="1"/>
  <c r="F383" i="5"/>
  <c r="G382" i="5"/>
  <c r="H382" i="5" s="1"/>
  <c r="F382" i="5"/>
  <c r="G381" i="5"/>
  <c r="H381" i="5" s="1"/>
  <c r="F381" i="5"/>
  <c r="G380" i="5"/>
  <c r="H380" i="5" s="1"/>
  <c r="F380" i="5"/>
  <c r="G379" i="5"/>
  <c r="H379" i="5" s="1"/>
  <c r="F379" i="5"/>
  <c r="G378" i="5"/>
  <c r="H378" i="5" s="1"/>
  <c r="F378" i="5"/>
  <c r="G377" i="5"/>
  <c r="H377" i="5" s="1"/>
  <c r="F377" i="5"/>
  <c r="G376" i="5"/>
  <c r="H376" i="5" s="1"/>
  <c r="F376" i="5"/>
  <c r="G375" i="5"/>
  <c r="H375" i="5" s="1"/>
  <c r="F375" i="5"/>
  <c r="G374" i="5"/>
  <c r="H374" i="5" s="1"/>
  <c r="F374" i="5"/>
  <c r="G373" i="5"/>
  <c r="H373" i="5" s="1"/>
  <c r="F373" i="5"/>
  <c r="G372" i="5"/>
  <c r="H372" i="5" s="1"/>
  <c r="F372" i="5"/>
  <c r="G371" i="5"/>
  <c r="H371" i="5" s="1"/>
  <c r="F371" i="5"/>
  <c r="G370" i="5"/>
  <c r="H370" i="5" s="1"/>
  <c r="F370" i="5"/>
  <c r="G369" i="5"/>
  <c r="H369" i="5" s="1"/>
  <c r="F369" i="5"/>
  <c r="G368" i="5"/>
  <c r="H368" i="5" s="1"/>
  <c r="F368" i="5"/>
  <c r="G367" i="5"/>
  <c r="H367" i="5" s="1"/>
  <c r="F367" i="5"/>
  <c r="G366" i="5"/>
  <c r="H366" i="5" s="1"/>
  <c r="F366" i="5"/>
  <c r="G365" i="5"/>
  <c r="H365" i="5" s="1"/>
  <c r="F365" i="5"/>
  <c r="G364" i="5"/>
  <c r="H364" i="5" s="1"/>
  <c r="F364" i="5"/>
  <c r="G363" i="5"/>
  <c r="H363" i="5" s="1"/>
  <c r="F363" i="5"/>
  <c r="G362" i="5"/>
  <c r="H362" i="5" s="1"/>
  <c r="F362" i="5"/>
  <c r="G361" i="5"/>
  <c r="H361" i="5" s="1"/>
  <c r="F361" i="5"/>
  <c r="G360" i="5"/>
  <c r="H360" i="5" s="1"/>
  <c r="F360" i="5"/>
  <c r="G359" i="5"/>
  <c r="H359" i="5" s="1"/>
  <c r="F359" i="5"/>
  <c r="G358" i="5"/>
  <c r="H358" i="5" s="1"/>
  <c r="F358" i="5"/>
  <c r="G357" i="5"/>
  <c r="H357" i="5" s="1"/>
  <c r="F357" i="5"/>
  <c r="G356" i="5"/>
  <c r="H356" i="5" s="1"/>
  <c r="F356" i="5"/>
  <c r="G355" i="5"/>
  <c r="H355" i="5" s="1"/>
  <c r="F355" i="5"/>
  <c r="G354" i="5"/>
  <c r="H354" i="5" s="1"/>
  <c r="F354" i="5"/>
  <c r="G353" i="5"/>
  <c r="H353" i="5" s="1"/>
  <c r="F353" i="5"/>
  <c r="G352" i="5"/>
  <c r="H352" i="5" s="1"/>
  <c r="F352" i="5"/>
  <c r="G351" i="5"/>
  <c r="H351" i="5" s="1"/>
  <c r="F351" i="5"/>
  <c r="G350" i="5"/>
  <c r="H350" i="5" s="1"/>
  <c r="F350" i="5"/>
  <c r="G349" i="5"/>
  <c r="H349" i="5" s="1"/>
  <c r="F349" i="5"/>
  <c r="G348" i="5"/>
  <c r="H348" i="5" s="1"/>
  <c r="F348" i="5"/>
  <c r="G347" i="5"/>
  <c r="H347" i="5" s="1"/>
  <c r="F347" i="5"/>
  <c r="G346" i="5"/>
  <c r="H346" i="5" s="1"/>
  <c r="F346" i="5"/>
  <c r="G345" i="5"/>
  <c r="H345" i="5" s="1"/>
  <c r="F345" i="5"/>
  <c r="G344" i="5"/>
  <c r="H344" i="5" s="1"/>
  <c r="F344" i="5"/>
  <c r="G343" i="5"/>
  <c r="H343" i="5" s="1"/>
  <c r="F343" i="5"/>
  <c r="G342" i="5"/>
  <c r="H342" i="5" s="1"/>
  <c r="F342" i="5"/>
  <c r="G341" i="5"/>
  <c r="H341" i="5" s="1"/>
  <c r="F341" i="5"/>
  <c r="G340" i="5"/>
  <c r="H340" i="5" s="1"/>
  <c r="F340" i="5"/>
  <c r="G339" i="5"/>
  <c r="H339" i="5" s="1"/>
  <c r="F339" i="5"/>
  <c r="G338" i="5"/>
  <c r="H338" i="5" s="1"/>
  <c r="F338" i="5"/>
  <c r="G337" i="5"/>
  <c r="H337" i="5" s="1"/>
  <c r="F337" i="5"/>
  <c r="G336" i="5"/>
  <c r="H336" i="5" s="1"/>
  <c r="F336" i="5"/>
  <c r="G335" i="5"/>
  <c r="H335" i="5" s="1"/>
  <c r="F335" i="5"/>
  <c r="G334" i="5"/>
  <c r="H334" i="5" s="1"/>
  <c r="F334" i="5"/>
  <c r="G333" i="5"/>
  <c r="H333" i="5" s="1"/>
  <c r="F333" i="5"/>
  <c r="G332" i="5"/>
  <c r="H332" i="5" s="1"/>
  <c r="F332" i="5"/>
  <c r="G331" i="5"/>
  <c r="H331" i="5" s="1"/>
  <c r="F331" i="5"/>
  <c r="G330" i="5"/>
  <c r="H330" i="5" s="1"/>
  <c r="F330" i="5"/>
  <c r="G329" i="5"/>
  <c r="H329" i="5" s="1"/>
  <c r="F329" i="5"/>
  <c r="G328" i="5"/>
  <c r="H328" i="5" s="1"/>
  <c r="F328" i="5"/>
  <c r="G327" i="5"/>
  <c r="H327" i="5" s="1"/>
  <c r="F327" i="5"/>
  <c r="G326" i="5"/>
  <c r="H326" i="5" s="1"/>
  <c r="F326" i="5"/>
  <c r="G325" i="5"/>
  <c r="H325" i="5" s="1"/>
  <c r="F325" i="5"/>
  <c r="G324" i="5"/>
  <c r="H324" i="5" s="1"/>
  <c r="F324" i="5"/>
  <c r="G323" i="5"/>
  <c r="H323" i="5" s="1"/>
  <c r="F323" i="5"/>
  <c r="G322" i="5"/>
  <c r="H322" i="5" s="1"/>
  <c r="F322" i="5"/>
  <c r="G321" i="5"/>
  <c r="H321" i="5" s="1"/>
  <c r="F321" i="5"/>
  <c r="G320" i="5"/>
  <c r="H320" i="5" s="1"/>
  <c r="F320" i="5"/>
  <c r="G319" i="5"/>
  <c r="H319" i="5" s="1"/>
  <c r="F319" i="5"/>
  <c r="G318" i="5"/>
  <c r="H318" i="5" s="1"/>
  <c r="F318" i="5"/>
  <c r="G317" i="5"/>
  <c r="H317" i="5" s="1"/>
  <c r="F317" i="5"/>
  <c r="G316" i="5"/>
  <c r="H316" i="5" s="1"/>
  <c r="F316" i="5"/>
  <c r="G315" i="5"/>
  <c r="H315" i="5" s="1"/>
  <c r="F315" i="5"/>
  <c r="G314" i="5"/>
  <c r="H314" i="5" s="1"/>
  <c r="F314" i="5"/>
  <c r="G313" i="5"/>
  <c r="H313" i="5" s="1"/>
  <c r="F313" i="5"/>
  <c r="G312" i="5"/>
  <c r="H312" i="5" s="1"/>
  <c r="F312" i="5"/>
  <c r="G311" i="5"/>
  <c r="H311" i="5" s="1"/>
  <c r="F311" i="5"/>
  <c r="G310" i="5"/>
  <c r="H310" i="5" s="1"/>
  <c r="F310" i="5"/>
  <c r="G309" i="5"/>
  <c r="H309" i="5" s="1"/>
  <c r="F309" i="5"/>
  <c r="G308" i="5"/>
  <c r="H308" i="5" s="1"/>
  <c r="F308" i="5"/>
  <c r="G307" i="5"/>
  <c r="H307" i="5" s="1"/>
  <c r="F307" i="5"/>
  <c r="G306" i="5"/>
  <c r="H306" i="5" s="1"/>
  <c r="F306" i="5"/>
  <c r="G305" i="5"/>
  <c r="H305" i="5" s="1"/>
  <c r="F305" i="5"/>
  <c r="G304" i="5"/>
  <c r="H304" i="5" s="1"/>
  <c r="F304" i="5"/>
  <c r="G303" i="5"/>
  <c r="H303" i="5" s="1"/>
  <c r="F303" i="5"/>
  <c r="G302" i="5"/>
  <c r="H302" i="5" s="1"/>
  <c r="F302" i="5"/>
  <c r="G301" i="5"/>
  <c r="H301" i="5" s="1"/>
  <c r="F301" i="5"/>
  <c r="G300" i="5"/>
  <c r="H300" i="5" s="1"/>
  <c r="F300" i="5"/>
  <c r="G299" i="5"/>
  <c r="H299" i="5" s="1"/>
  <c r="F299" i="5"/>
  <c r="G298" i="5"/>
  <c r="H298" i="5" s="1"/>
  <c r="F298" i="5"/>
  <c r="G297" i="5"/>
  <c r="H297" i="5" s="1"/>
  <c r="F297" i="5"/>
  <c r="G296" i="5"/>
  <c r="H296" i="5" s="1"/>
  <c r="F296" i="5"/>
  <c r="G295" i="5"/>
  <c r="H295" i="5" s="1"/>
  <c r="F295" i="5"/>
  <c r="G294" i="5"/>
  <c r="H294" i="5" s="1"/>
  <c r="F294" i="5"/>
  <c r="G293" i="5"/>
  <c r="H293" i="5" s="1"/>
  <c r="F293" i="5"/>
  <c r="G292" i="5"/>
  <c r="H292" i="5" s="1"/>
  <c r="F292" i="5"/>
  <c r="G291" i="5"/>
  <c r="H291" i="5" s="1"/>
  <c r="F291" i="5"/>
  <c r="G290" i="5"/>
  <c r="H290" i="5" s="1"/>
  <c r="F290" i="5"/>
  <c r="G289" i="5"/>
  <c r="H289" i="5" s="1"/>
  <c r="F289" i="5"/>
  <c r="G288" i="5"/>
  <c r="H288" i="5" s="1"/>
  <c r="F288" i="5"/>
  <c r="G287" i="5"/>
  <c r="H287" i="5" s="1"/>
  <c r="F287" i="5"/>
  <c r="G286" i="5"/>
  <c r="H286" i="5" s="1"/>
  <c r="F286" i="5"/>
  <c r="G285" i="5"/>
  <c r="H285" i="5" s="1"/>
  <c r="F285" i="5"/>
  <c r="G284" i="5"/>
  <c r="H284" i="5" s="1"/>
  <c r="F284" i="5"/>
  <c r="G283" i="5"/>
  <c r="H283" i="5" s="1"/>
  <c r="F283" i="5"/>
  <c r="G282" i="5"/>
  <c r="H282" i="5" s="1"/>
  <c r="F282" i="5"/>
  <c r="G281" i="5"/>
  <c r="H281" i="5" s="1"/>
  <c r="F281" i="5"/>
  <c r="G280" i="5"/>
  <c r="H280" i="5" s="1"/>
  <c r="F280" i="5"/>
  <c r="G279" i="5"/>
  <c r="H279" i="5" s="1"/>
  <c r="F279" i="5"/>
  <c r="G278" i="5"/>
  <c r="H278" i="5" s="1"/>
  <c r="F278" i="5"/>
  <c r="G277" i="5"/>
  <c r="H277" i="5" s="1"/>
  <c r="F277" i="5"/>
  <c r="G276" i="5"/>
  <c r="H276" i="5" s="1"/>
  <c r="F276" i="5"/>
  <c r="G275" i="5"/>
  <c r="H275" i="5" s="1"/>
  <c r="F275" i="5"/>
  <c r="G274" i="5"/>
  <c r="H274" i="5" s="1"/>
  <c r="F274" i="5"/>
  <c r="G273" i="5"/>
  <c r="H273" i="5" s="1"/>
  <c r="F273" i="5"/>
  <c r="G272" i="5"/>
  <c r="H272" i="5" s="1"/>
  <c r="F272" i="5"/>
  <c r="G271" i="5"/>
  <c r="H271" i="5" s="1"/>
  <c r="F271" i="5"/>
  <c r="G270" i="5"/>
  <c r="H270" i="5" s="1"/>
  <c r="F270" i="5"/>
  <c r="G269" i="5"/>
  <c r="H269" i="5" s="1"/>
  <c r="F269" i="5"/>
  <c r="G268" i="5"/>
  <c r="H268" i="5" s="1"/>
  <c r="F268" i="5"/>
  <c r="G267" i="5"/>
  <c r="H267" i="5" s="1"/>
  <c r="F267" i="5"/>
  <c r="G266" i="5"/>
  <c r="H266" i="5" s="1"/>
  <c r="F266" i="5"/>
  <c r="G265" i="5"/>
  <c r="H265" i="5" s="1"/>
  <c r="F265" i="5"/>
  <c r="G264" i="5"/>
  <c r="H264" i="5" s="1"/>
  <c r="F264" i="5"/>
  <c r="G263" i="5"/>
  <c r="H263" i="5" s="1"/>
  <c r="F263" i="5"/>
  <c r="G262" i="5"/>
  <c r="H262" i="5" s="1"/>
  <c r="F262" i="5"/>
  <c r="G261" i="5"/>
  <c r="H261" i="5" s="1"/>
  <c r="F261" i="5"/>
  <c r="G260" i="5"/>
  <c r="H260" i="5" s="1"/>
  <c r="F260" i="5"/>
  <c r="G259" i="5"/>
  <c r="H259" i="5" s="1"/>
  <c r="F259" i="5"/>
  <c r="G258" i="5"/>
  <c r="H258" i="5" s="1"/>
  <c r="F258" i="5"/>
  <c r="G257" i="5"/>
  <c r="H257" i="5" s="1"/>
  <c r="F257" i="5"/>
  <c r="G256" i="5"/>
  <c r="H256" i="5" s="1"/>
  <c r="F256" i="5"/>
  <c r="G255" i="5"/>
  <c r="H255" i="5" s="1"/>
  <c r="F255" i="5"/>
  <c r="G254" i="5"/>
  <c r="H254" i="5" s="1"/>
  <c r="F254" i="5"/>
  <c r="G253" i="5"/>
  <c r="H253" i="5" s="1"/>
  <c r="F253" i="5"/>
  <c r="G252" i="5"/>
  <c r="H252" i="5" s="1"/>
  <c r="F252" i="5"/>
  <c r="G251" i="5"/>
  <c r="H251" i="5" s="1"/>
  <c r="F251" i="5"/>
  <c r="G250" i="5"/>
  <c r="H250" i="5" s="1"/>
  <c r="F250" i="5"/>
  <c r="G249" i="5"/>
  <c r="H249" i="5" s="1"/>
  <c r="F249" i="5"/>
  <c r="G248" i="5"/>
  <c r="H248" i="5" s="1"/>
  <c r="F248" i="5"/>
  <c r="G247" i="5"/>
  <c r="H247" i="5" s="1"/>
  <c r="F247" i="5"/>
  <c r="G246" i="5"/>
  <c r="H246" i="5" s="1"/>
  <c r="F246" i="5"/>
  <c r="G245" i="5"/>
  <c r="H245" i="5" s="1"/>
  <c r="F245" i="5"/>
  <c r="G244" i="5"/>
  <c r="H244" i="5" s="1"/>
  <c r="F244" i="5"/>
  <c r="G243" i="5"/>
  <c r="H243" i="5" s="1"/>
  <c r="F243" i="5"/>
  <c r="G242" i="5"/>
  <c r="H242" i="5" s="1"/>
  <c r="F242" i="5"/>
  <c r="G241" i="5"/>
  <c r="H241" i="5" s="1"/>
  <c r="F241" i="5"/>
  <c r="G240" i="5"/>
  <c r="H240" i="5" s="1"/>
  <c r="F240" i="5"/>
  <c r="G239" i="5"/>
  <c r="H239" i="5" s="1"/>
  <c r="F239" i="5"/>
  <c r="G238" i="5"/>
  <c r="H238" i="5" s="1"/>
  <c r="F238" i="5"/>
  <c r="G237" i="5"/>
  <c r="H237" i="5" s="1"/>
  <c r="F237" i="5"/>
  <c r="G236" i="5"/>
  <c r="H236" i="5" s="1"/>
  <c r="F236" i="5"/>
  <c r="G235" i="5"/>
  <c r="H235" i="5" s="1"/>
  <c r="F235" i="5"/>
  <c r="G234" i="5"/>
  <c r="H234" i="5" s="1"/>
  <c r="F234" i="5"/>
  <c r="G233" i="5"/>
  <c r="H233" i="5" s="1"/>
  <c r="F233" i="5"/>
  <c r="G232" i="5"/>
  <c r="H232" i="5" s="1"/>
  <c r="F232" i="5"/>
  <c r="G231" i="5"/>
  <c r="H231" i="5" s="1"/>
  <c r="F231" i="5"/>
  <c r="G230" i="5"/>
  <c r="H230" i="5" s="1"/>
  <c r="F230" i="5"/>
  <c r="G229" i="5"/>
  <c r="H229" i="5" s="1"/>
  <c r="F229" i="5"/>
  <c r="G228" i="5"/>
  <c r="H228" i="5" s="1"/>
  <c r="F228" i="5"/>
  <c r="G227" i="5"/>
  <c r="H227" i="5" s="1"/>
  <c r="F227" i="5"/>
  <c r="G226" i="5"/>
  <c r="H226" i="5" s="1"/>
  <c r="F226" i="5"/>
  <c r="G225" i="5"/>
  <c r="H225" i="5" s="1"/>
  <c r="F225" i="5"/>
  <c r="G224" i="5"/>
  <c r="H224" i="5" s="1"/>
  <c r="F224" i="5"/>
  <c r="G223" i="5"/>
  <c r="H223" i="5" s="1"/>
  <c r="F223" i="5"/>
  <c r="G222" i="5"/>
  <c r="H222" i="5" s="1"/>
  <c r="F222" i="5"/>
  <c r="G221" i="5"/>
  <c r="H221" i="5" s="1"/>
  <c r="F221" i="5"/>
  <c r="G220" i="5"/>
  <c r="H220" i="5" s="1"/>
  <c r="F220" i="5"/>
  <c r="G219" i="5"/>
  <c r="H219" i="5" s="1"/>
  <c r="F219" i="5"/>
  <c r="G218" i="5"/>
  <c r="H218" i="5" s="1"/>
  <c r="F218" i="5"/>
  <c r="G217" i="5"/>
  <c r="H217" i="5" s="1"/>
  <c r="F217" i="5"/>
  <c r="G216" i="5"/>
  <c r="H216" i="5" s="1"/>
  <c r="F216" i="5"/>
  <c r="G215" i="5"/>
  <c r="H215" i="5" s="1"/>
  <c r="F215" i="5"/>
  <c r="G214" i="5"/>
  <c r="H214" i="5" s="1"/>
  <c r="F214" i="5"/>
  <c r="G213" i="5"/>
  <c r="H213" i="5" s="1"/>
  <c r="F213" i="5"/>
  <c r="G212" i="5"/>
  <c r="H212" i="5" s="1"/>
  <c r="F212" i="5"/>
  <c r="G211" i="5"/>
  <c r="H211" i="5" s="1"/>
  <c r="F211" i="5"/>
  <c r="G210" i="5"/>
  <c r="H210" i="5" s="1"/>
  <c r="F210" i="5"/>
  <c r="G209" i="5"/>
  <c r="H209" i="5" s="1"/>
  <c r="F209" i="5"/>
  <c r="G208" i="5"/>
  <c r="H208" i="5" s="1"/>
  <c r="F208" i="5"/>
  <c r="G207" i="5"/>
  <c r="H207" i="5" s="1"/>
  <c r="F207" i="5"/>
  <c r="G206" i="5"/>
  <c r="H206" i="5" s="1"/>
  <c r="F206" i="5"/>
  <c r="G205" i="5"/>
  <c r="H205" i="5" s="1"/>
  <c r="F205" i="5"/>
  <c r="G204" i="5"/>
  <c r="H204" i="5" s="1"/>
  <c r="F204" i="5"/>
  <c r="G203" i="5"/>
  <c r="H203" i="5" s="1"/>
  <c r="F203" i="5"/>
  <c r="G202" i="5"/>
  <c r="H202" i="5" s="1"/>
  <c r="F202" i="5"/>
  <c r="G201" i="5"/>
  <c r="H201" i="5" s="1"/>
  <c r="F201" i="5"/>
  <c r="G200" i="5"/>
  <c r="H200" i="5" s="1"/>
  <c r="F200" i="5"/>
  <c r="G199" i="5"/>
  <c r="H199" i="5" s="1"/>
  <c r="F199" i="5"/>
  <c r="G198" i="5"/>
  <c r="H198" i="5" s="1"/>
  <c r="F198" i="5"/>
  <c r="G197" i="5"/>
  <c r="H197" i="5" s="1"/>
  <c r="F197" i="5"/>
  <c r="G196" i="5"/>
  <c r="H196" i="5" s="1"/>
  <c r="F196" i="5"/>
  <c r="G195" i="5"/>
  <c r="H195" i="5" s="1"/>
  <c r="F195" i="5"/>
  <c r="G194" i="5"/>
  <c r="H194" i="5" s="1"/>
  <c r="F194" i="5"/>
  <c r="G193" i="5"/>
  <c r="H193" i="5" s="1"/>
  <c r="F193" i="5"/>
  <c r="G192" i="5"/>
  <c r="H192" i="5" s="1"/>
  <c r="F192" i="5"/>
  <c r="G191" i="5"/>
  <c r="H191" i="5" s="1"/>
  <c r="F191" i="5"/>
  <c r="G190" i="5"/>
  <c r="H190" i="5" s="1"/>
  <c r="F190" i="5"/>
  <c r="G189" i="5"/>
  <c r="H189" i="5" s="1"/>
  <c r="F189" i="5"/>
  <c r="G188" i="5"/>
  <c r="H188" i="5" s="1"/>
  <c r="F188" i="5"/>
  <c r="G187" i="5"/>
  <c r="H187" i="5" s="1"/>
  <c r="F187" i="5"/>
  <c r="G186" i="5"/>
  <c r="H186" i="5" s="1"/>
  <c r="F186" i="5"/>
  <c r="G185" i="5"/>
  <c r="H185" i="5" s="1"/>
  <c r="F185" i="5"/>
  <c r="G184" i="5"/>
  <c r="H184" i="5" s="1"/>
  <c r="F184" i="5"/>
  <c r="G183" i="5"/>
  <c r="H183" i="5" s="1"/>
  <c r="F183" i="5"/>
  <c r="G182" i="5"/>
  <c r="H182" i="5" s="1"/>
  <c r="F182" i="5"/>
  <c r="G181" i="5"/>
  <c r="H181" i="5" s="1"/>
  <c r="F181" i="5"/>
  <c r="G180" i="5"/>
  <c r="H180" i="5" s="1"/>
  <c r="F180" i="5"/>
  <c r="G179" i="5"/>
  <c r="H179" i="5" s="1"/>
  <c r="F179" i="5"/>
  <c r="G178" i="5"/>
  <c r="H178" i="5" s="1"/>
  <c r="F178" i="5"/>
  <c r="G177" i="5"/>
  <c r="H177" i="5" s="1"/>
  <c r="F177" i="5"/>
  <c r="G176" i="5"/>
  <c r="H176" i="5" s="1"/>
  <c r="F176" i="5"/>
  <c r="G175" i="5"/>
  <c r="H175" i="5" s="1"/>
  <c r="F175" i="5"/>
  <c r="G174" i="5"/>
  <c r="H174" i="5" s="1"/>
  <c r="F174" i="5"/>
  <c r="G173" i="5"/>
  <c r="H173" i="5" s="1"/>
  <c r="F173" i="5"/>
  <c r="G172" i="5"/>
  <c r="H172" i="5" s="1"/>
  <c r="F172" i="5"/>
  <c r="G171" i="5"/>
  <c r="H171" i="5" s="1"/>
  <c r="F171" i="5"/>
  <c r="G170" i="5"/>
  <c r="H170" i="5" s="1"/>
  <c r="F170" i="5"/>
  <c r="G169" i="5"/>
  <c r="H169" i="5" s="1"/>
  <c r="F169" i="5"/>
  <c r="G168" i="5"/>
  <c r="H168" i="5" s="1"/>
  <c r="F168" i="5"/>
  <c r="G167" i="5"/>
  <c r="H167" i="5" s="1"/>
  <c r="F167" i="5"/>
  <c r="G166" i="5"/>
  <c r="H166" i="5" s="1"/>
  <c r="F166" i="5"/>
  <c r="G165" i="5"/>
  <c r="H165" i="5" s="1"/>
  <c r="F165" i="5"/>
  <c r="G164" i="5"/>
  <c r="H164" i="5" s="1"/>
  <c r="F164" i="5"/>
  <c r="G163" i="5"/>
  <c r="H163" i="5" s="1"/>
  <c r="F163" i="5"/>
  <c r="G162" i="5"/>
  <c r="H162" i="5" s="1"/>
  <c r="F162" i="5"/>
  <c r="G161" i="5"/>
  <c r="H161" i="5" s="1"/>
  <c r="F161" i="5"/>
  <c r="G160" i="5"/>
  <c r="H160" i="5" s="1"/>
  <c r="F160" i="5"/>
  <c r="G159" i="5"/>
  <c r="H159" i="5" s="1"/>
  <c r="F159" i="5"/>
  <c r="G158" i="5"/>
  <c r="H158" i="5" s="1"/>
  <c r="F158" i="5"/>
  <c r="G157" i="5"/>
  <c r="H157" i="5" s="1"/>
  <c r="F157" i="5"/>
  <c r="G156" i="5"/>
  <c r="H156" i="5" s="1"/>
  <c r="F156" i="5"/>
  <c r="G155" i="5"/>
  <c r="H155" i="5" s="1"/>
  <c r="F155" i="5"/>
  <c r="G154" i="5"/>
  <c r="H154" i="5" s="1"/>
  <c r="F154" i="5"/>
  <c r="G153" i="5"/>
  <c r="H153" i="5" s="1"/>
  <c r="F153" i="5"/>
  <c r="G152" i="5"/>
  <c r="H152" i="5" s="1"/>
  <c r="F152" i="5"/>
  <c r="G151" i="5"/>
  <c r="H151" i="5" s="1"/>
  <c r="F151" i="5"/>
  <c r="G150" i="5"/>
  <c r="H150" i="5" s="1"/>
  <c r="F150" i="5"/>
  <c r="G149" i="5"/>
  <c r="H149" i="5" s="1"/>
  <c r="F149" i="5"/>
  <c r="G148" i="5"/>
  <c r="H148" i="5" s="1"/>
  <c r="F148" i="5"/>
  <c r="G147" i="5"/>
  <c r="H147" i="5" s="1"/>
  <c r="F147" i="5"/>
  <c r="G146" i="5"/>
  <c r="H146" i="5" s="1"/>
  <c r="F146" i="5"/>
  <c r="G145" i="5"/>
  <c r="H145" i="5" s="1"/>
  <c r="F145" i="5"/>
  <c r="G144" i="5"/>
  <c r="H144" i="5" s="1"/>
  <c r="F144" i="5"/>
  <c r="G143" i="5"/>
  <c r="H143" i="5" s="1"/>
  <c r="F143" i="5"/>
  <c r="G142" i="5"/>
  <c r="H142" i="5" s="1"/>
  <c r="F142" i="5"/>
  <c r="G141" i="5"/>
  <c r="H141" i="5" s="1"/>
  <c r="F141" i="5"/>
  <c r="G140" i="5"/>
  <c r="H140" i="5" s="1"/>
  <c r="F140" i="5"/>
  <c r="G139" i="5"/>
  <c r="H139" i="5" s="1"/>
  <c r="F139" i="5"/>
  <c r="G138" i="5"/>
  <c r="H138" i="5" s="1"/>
  <c r="F138" i="5"/>
  <c r="G137" i="5"/>
  <c r="H137" i="5" s="1"/>
  <c r="F137" i="5"/>
  <c r="G136" i="5"/>
  <c r="H136" i="5" s="1"/>
  <c r="F136" i="5"/>
  <c r="G135" i="5"/>
  <c r="H135" i="5" s="1"/>
  <c r="F135" i="5"/>
  <c r="G134" i="5"/>
  <c r="H134" i="5" s="1"/>
  <c r="F134" i="5"/>
  <c r="G133" i="5"/>
  <c r="H133" i="5" s="1"/>
  <c r="F133" i="5"/>
  <c r="G132" i="5"/>
  <c r="H132" i="5" s="1"/>
  <c r="F132" i="5"/>
  <c r="G131" i="5"/>
  <c r="H131" i="5" s="1"/>
  <c r="F131" i="5"/>
  <c r="G130" i="5"/>
  <c r="H130" i="5" s="1"/>
  <c r="F130" i="5"/>
  <c r="G129" i="5"/>
  <c r="H129" i="5" s="1"/>
  <c r="F129" i="5"/>
  <c r="G128" i="5"/>
  <c r="H128" i="5" s="1"/>
  <c r="F128" i="5"/>
  <c r="G127" i="5"/>
  <c r="H127" i="5" s="1"/>
  <c r="F127" i="5"/>
  <c r="G126" i="5"/>
  <c r="H126" i="5" s="1"/>
  <c r="F126" i="5"/>
  <c r="G125" i="5"/>
  <c r="H125" i="5" s="1"/>
  <c r="F125" i="5"/>
  <c r="G124" i="5"/>
  <c r="H124" i="5" s="1"/>
  <c r="F124" i="5"/>
  <c r="G123" i="5"/>
  <c r="H123" i="5" s="1"/>
  <c r="F123" i="5"/>
  <c r="G122" i="5"/>
  <c r="H122" i="5" s="1"/>
  <c r="F122" i="5"/>
  <c r="G121" i="5"/>
  <c r="H121" i="5" s="1"/>
  <c r="F121" i="5"/>
  <c r="G120" i="5"/>
  <c r="H120" i="5" s="1"/>
  <c r="F120" i="5"/>
  <c r="G119" i="5"/>
  <c r="H119" i="5" s="1"/>
  <c r="F119" i="5"/>
  <c r="G118" i="5"/>
  <c r="H118" i="5" s="1"/>
  <c r="F118" i="5"/>
  <c r="G117" i="5"/>
  <c r="H117" i="5" s="1"/>
  <c r="F117" i="5"/>
  <c r="G116" i="5"/>
  <c r="H116" i="5" s="1"/>
  <c r="F116" i="5"/>
  <c r="G115" i="5"/>
  <c r="H115" i="5" s="1"/>
  <c r="F115" i="5"/>
  <c r="G114" i="5"/>
  <c r="H114" i="5" s="1"/>
  <c r="F114" i="5"/>
  <c r="G113" i="5"/>
  <c r="H113" i="5" s="1"/>
  <c r="F113" i="5"/>
  <c r="G112" i="5"/>
  <c r="H112" i="5" s="1"/>
  <c r="F112" i="5"/>
  <c r="G111" i="5"/>
  <c r="H111" i="5" s="1"/>
  <c r="F111" i="5"/>
  <c r="G110" i="5"/>
  <c r="H110" i="5" s="1"/>
  <c r="F110" i="5"/>
  <c r="G109" i="5"/>
  <c r="H109" i="5" s="1"/>
  <c r="F109" i="5"/>
  <c r="G108" i="5"/>
  <c r="H108" i="5" s="1"/>
  <c r="F108" i="5"/>
  <c r="G107" i="5"/>
  <c r="H107" i="5" s="1"/>
  <c r="F107" i="5"/>
  <c r="G106" i="5"/>
  <c r="H106" i="5" s="1"/>
  <c r="F106" i="5"/>
  <c r="G105" i="5"/>
  <c r="H105" i="5" s="1"/>
  <c r="F105" i="5"/>
  <c r="G104" i="5"/>
  <c r="H104" i="5" s="1"/>
  <c r="F104" i="5"/>
  <c r="G103" i="5"/>
  <c r="H103" i="5" s="1"/>
  <c r="F103" i="5"/>
  <c r="G102" i="5"/>
  <c r="H102" i="5" s="1"/>
  <c r="F102" i="5"/>
  <c r="G101" i="5"/>
  <c r="H101" i="5" s="1"/>
  <c r="F101" i="5"/>
  <c r="G100" i="5"/>
  <c r="H100" i="5" s="1"/>
  <c r="F100" i="5"/>
  <c r="G99" i="5"/>
  <c r="H99" i="5" s="1"/>
  <c r="F99" i="5"/>
  <c r="G98" i="5"/>
  <c r="H98" i="5" s="1"/>
  <c r="F98" i="5"/>
  <c r="G97" i="5"/>
  <c r="H97" i="5" s="1"/>
  <c r="F97" i="5"/>
  <c r="G96" i="5"/>
  <c r="H96" i="5" s="1"/>
  <c r="F96" i="5"/>
  <c r="G95" i="5"/>
  <c r="H95" i="5" s="1"/>
  <c r="F95" i="5"/>
  <c r="G94" i="5"/>
  <c r="H94" i="5" s="1"/>
  <c r="F94" i="5"/>
  <c r="G93" i="5"/>
  <c r="H93" i="5" s="1"/>
  <c r="F93" i="5"/>
  <c r="G92" i="5"/>
  <c r="H92" i="5" s="1"/>
  <c r="F92" i="5"/>
  <c r="G91" i="5"/>
  <c r="H91" i="5" s="1"/>
  <c r="F91" i="5"/>
  <c r="G90" i="5"/>
  <c r="H90" i="5" s="1"/>
  <c r="F90" i="5"/>
  <c r="G89" i="5"/>
  <c r="H89" i="5" s="1"/>
  <c r="F89" i="5"/>
  <c r="G88" i="5"/>
  <c r="H88" i="5" s="1"/>
  <c r="F88" i="5"/>
  <c r="G87" i="5"/>
  <c r="H87" i="5" s="1"/>
  <c r="F87" i="5"/>
  <c r="G86" i="5"/>
  <c r="H86" i="5" s="1"/>
  <c r="F86" i="5"/>
  <c r="G85" i="5"/>
  <c r="H85" i="5" s="1"/>
  <c r="F85" i="5"/>
  <c r="G84" i="5"/>
  <c r="H84" i="5" s="1"/>
  <c r="F84" i="5"/>
  <c r="G83" i="5"/>
  <c r="H83" i="5" s="1"/>
  <c r="F83" i="5"/>
  <c r="G82" i="5"/>
  <c r="H82" i="5" s="1"/>
  <c r="F82" i="5"/>
  <c r="G81" i="5"/>
  <c r="H81" i="5" s="1"/>
  <c r="F81" i="5"/>
  <c r="G80" i="5"/>
  <c r="H80" i="5" s="1"/>
  <c r="F80" i="5"/>
  <c r="G79" i="5"/>
  <c r="H79" i="5" s="1"/>
  <c r="F79" i="5"/>
  <c r="G78" i="5"/>
  <c r="H78" i="5" s="1"/>
  <c r="F78" i="5"/>
  <c r="G77" i="5"/>
  <c r="H77" i="5" s="1"/>
  <c r="F77" i="5"/>
  <c r="G76" i="5"/>
  <c r="H76" i="5" s="1"/>
  <c r="F76" i="5"/>
  <c r="G75" i="5"/>
  <c r="H75" i="5" s="1"/>
  <c r="F75" i="5"/>
  <c r="G74" i="5"/>
  <c r="H74" i="5" s="1"/>
  <c r="F74" i="5"/>
  <c r="G73" i="5"/>
  <c r="H73" i="5" s="1"/>
  <c r="F73" i="5"/>
  <c r="G72" i="5"/>
  <c r="H72" i="5" s="1"/>
  <c r="F72" i="5"/>
  <c r="G71" i="5"/>
  <c r="H71" i="5" s="1"/>
  <c r="F71" i="5"/>
  <c r="G70" i="5"/>
  <c r="H70" i="5" s="1"/>
  <c r="F70" i="5"/>
  <c r="G69" i="5"/>
  <c r="H69" i="5" s="1"/>
  <c r="F69" i="5"/>
  <c r="G68" i="5"/>
  <c r="H68" i="5" s="1"/>
  <c r="F68" i="5"/>
  <c r="G67" i="5"/>
  <c r="H67" i="5" s="1"/>
  <c r="F67" i="5"/>
  <c r="G66" i="5"/>
  <c r="H66" i="5" s="1"/>
  <c r="F66" i="5"/>
  <c r="G65" i="5"/>
  <c r="H65" i="5" s="1"/>
  <c r="F65" i="5"/>
  <c r="G64" i="5"/>
  <c r="H64" i="5" s="1"/>
  <c r="F64" i="5"/>
  <c r="G63" i="5"/>
  <c r="H63" i="5" s="1"/>
  <c r="F63" i="5"/>
  <c r="G62" i="5"/>
  <c r="H62" i="5" s="1"/>
  <c r="F62" i="5"/>
  <c r="G61" i="5"/>
  <c r="H61" i="5" s="1"/>
  <c r="F61" i="5"/>
  <c r="G60" i="5"/>
  <c r="H60" i="5" s="1"/>
  <c r="F60" i="5"/>
  <c r="G59" i="5"/>
  <c r="H59" i="5" s="1"/>
  <c r="F59" i="5"/>
  <c r="G58" i="5"/>
  <c r="H58" i="5" s="1"/>
  <c r="F58" i="5"/>
  <c r="G57" i="5"/>
  <c r="H57" i="5" s="1"/>
  <c r="F57" i="5"/>
  <c r="G56" i="5"/>
  <c r="H56" i="5" s="1"/>
  <c r="F56" i="5"/>
  <c r="G55" i="5"/>
  <c r="H55" i="5" s="1"/>
  <c r="F55" i="5"/>
  <c r="G54" i="5"/>
  <c r="H54" i="5" s="1"/>
  <c r="F54" i="5"/>
  <c r="G53" i="5"/>
  <c r="H53" i="5" s="1"/>
  <c r="F53" i="5"/>
  <c r="G52" i="5"/>
  <c r="H52" i="5" s="1"/>
  <c r="F52" i="5"/>
  <c r="G51" i="5"/>
  <c r="H51" i="5" s="1"/>
  <c r="F51" i="5"/>
  <c r="G50" i="5"/>
  <c r="H50" i="5" s="1"/>
  <c r="F50" i="5"/>
  <c r="G49" i="5"/>
  <c r="H49" i="5" s="1"/>
  <c r="F49" i="5"/>
  <c r="G48" i="5"/>
  <c r="H48" i="5" s="1"/>
  <c r="F48" i="5"/>
  <c r="G47" i="5"/>
  <c r="H47" i="5" s="1"/>
  <c r="F47" i="5"/>
  <c r="G46" i="5"/>
  <c r="H46" i="5" s="1"/>
  <c r="F46" i="5"/>
  <c r="G45" i="5"/>
  <c r="H45" i="5" s="1"/>
  <c r="F45" i="5"/>
  <c r="G44" i="5"/>
  <c r="H44" i="5" s="1"/>
  <c r="F44" i="5"/>
  <c r="G43" i="5"/>
  <c r="H43" i="5" s="1"/>
  <c r="F43" i="5"/>
  <c r="G42" i="5"/>
  <c r="H42" i="5" s="1"/>
  <c r="F42" i="5"/>
  <c r="G41" i="5"/>
  <c r="H41" i="5" s="1"/>
  <c r="F41" i="5"/>
  <c r="G40" i="5"/>
  <c r="H40" i="5" s="1"/>
  <c r="F40" i="5"/>
  <c r="G39" i="5"/>
  <c r="H39" i="5" s="1"/>
  <c r="F39" i="5"/>
  <c r="G38" i="5"/>
  <c r="H38" i="5" s="1"/>
  <c r="F38" i="5"/>
  <c r="G37" i="5"/>
  <c r="H37" i="5" s="1"/>
  <c r="F37" i="5"/>
  <c r="G36" i="5"/>
  <c r="H36" i="5" s="1"/>
  <c r="F36" i="5"/>
  <c r="G35" i="5"/>
  <c r="H35" i="5" s="1"/>
  <c r="F35" i="5"/>
  <c r="G34" i="5"/>
  <c r="H34" i="5" s="1"/>
  <c r="F34" i="5"/>
  <c r="G33" i="5"/>
  <c r="H33" i="5" s="1"/>
  <c r="F33" i="5"/>
  <c r="G32" i="5"/>
  <c r="H32" i="5" s="1"/>
  <c r="F32" i="5"/>
  <c r="G31" i="5"/>
  <c r="H31" i="5" s="1"/>
  <c r="F31" i="5"/>
  <c r="G30" i="5"/>
  <c r="H30" i="5" s="1"/>
  <c r="F30" i="5"/>
  <c r="G29" i="5"/>
  <c r="H29" i="5" s="1"/>
  <c r="F29" i="5"/>
  <c r="G28" i="5"/>
  <c r="H28" i="5" s="1"/>
  <c r="F28" i="5"/>
  <c r="G27" i="5"/>
  <c r="H27" i="5" s="1"/>
  <c r="F27" i="5"/>
  <c r="G26" i="5"/>
  <c r="H26" i="5" s="1"/>
  <c r="F26" i="5"/>
  <c r="G25" i="5"/>
  <c r="H25" i="5" s="1"/>
  <c r="F25" i="5"/>
  <c r="G24" i="5"/>
  <c r="H24" i="5" s="1"/>
  <c r="F24" i="5"/>
  <c r="G23" i="5"/>
  <c r="H23" i="5" s="1"/>
  <c r="F23" i="5"/>
  <c r="G22" i="5"/>
  <c r="H22" i="5" s="1"/>
  <c r="F22" i="5"/>
  <c r="G21" i="5"/>
  <c r="H21" i="5" s="1"/>
  <c r="F21" i="5"/>
  <c r="G20" i="5"/>
  <c r="H20" i="5" s="1"/>
  <c r="F20" i="5"/>
  <c r="G19" i="5"/>
  <c r="H19" i="5" s="1"/>
  <c r="F19" i="5"/>
  <c r="G18" i="5"/>
  <c r="H18" i="5" s="1"/>
  <c r="F18" i="5"/>
  <c r="G17" i="5"/>
  <c r="H17" i="5" s="1"/>
  <c r="F17" i="5"/>
  <c r="G16" i="5"/>
  <c r="H16" i="5" s="1"/>
  <c r="F16" i="5"/>
  <c r="G15" i="5"/>
  <c r="H15" i="5" s="1"/>
  <c r="F15" i="5"/>
  <c r="G14" i="5"/>
  <c r="H14" i="5" s="1"/>
  <c r="F14" i="5"/>
  <c r="G13" i="5"/>
  <c r="H13" i="5" s="1"/>
  <c r="F13" i="5"/>
  <c r="G12" i="5"/>
  <c r="H12" i="5" s="1"/>
  <c r="F12" i="5"/>
  <c r="G11" i="5"/>
  <c r="H11" i="5" s="1"/>
  <c r="F11" i="5"/>
  <c r="G10" i="5"/>
  <c r="H10" i="5" s="1"/>
  <c r="F10" i="5"/>
  <c r="G9" i="5"/>
  <c r="H9" i="5" s="1"/>
  <c r="F9" i="5"/>
  <c r="G8" i="5"/>
  <c r="H8" i="5" s="1"/>
  <c r="F8" i="5"/>
  <c r="G7" i="5"/>
  <c r="H7" i="5" s="1"/>
  <c r="F7" i="5"/>
  <c r="G6" i="5"/>
  <c r="H6" i="5" s="1"/>
  <c r="F6" i="5"/>
  <c r="G5" i="5"/>
  <c r="H5" i="5" s="1"/>
  <c r="F5" i="5"/>
  <c r="G4" i="5"/>
  <c r="H4" i="5" s="1"/>
  <c r="F4" i="5"/>
  <c r="G3" i="5"/>
  <c r="H3" i="5" s="1"/>
  <c r="F3" i="5"/>
  <c r="H51" i="3"/>
  <c r="H52" i="3"/>
  <c r="H53" i="3"/>
  <c r="H54" i="3"/>
  <c r="H55" i="3"/>
  <c r="H56" i="3"/>
  <c r="H57" i="3"/>
  <c r="H58" i="3"/>
  <c r="D51" i="3"/>
  <c r="D52" i="3"/>
  <c r="D53" i="3"/>
  <c r="D54" i="3"/>
  <c r="D55" i="3"/>
  <c r="D56" i="3"/>
  <c r="D57" i="3"/>
  <c r="D58" i="3"/>
  <c r="X416" i="3"/>
  <c r="X418" i="3"/>
  <c r="X421" i="3"/>
  <c r="X422" i="3"/>
  <c r="X423" i="3"/>
  <c r="X424" i="3"/>
  <c r="X426" i="3"/>
  <c r="X429" i="3"/>
  <c r="X430" i="3"/>
  <c r="X431" i="3"/>
  <c r="X432" i="3"/>
  <c r="X434" i="3"/>
  <c r="X437" i="3"/>
  <c r="W416" i="3"/>
  <c r="W417" i="3"/>
  <c r="X417" i="3" s="1"/>
  <c r="W418" i="3"/>
  <c r="W419" i="3"/>
  <c r="X419" i="3" s="1"/>
  <c r="W420" i="3"/>
  <c r="X420" i="3" s="1"/>
  <c r="W421" i="3"/>
  <c r="W422" i="3"/>
  <c r="W423" i="3"/>
  <c r="W424" i="3"/>
  <c r="W425" i="3"/>
  <c r="X425" i="3" s="1"/>
  <c r="W426" i="3"/>
  <c r="W427" i="3"/>
  <c r="X427" i="3" s="1"/>
  <c r="W428" i="3"/>
  <c r="X428" i="3" s="1"/>
  <c r="W429" i="3"/>
  <c r="W430" i="3"/>
  <c r="W431" i="3"/>
  <c r="W432" i="3"/>
  <c r="W433" i="3"/>
  <c r="X433" i="3" s="1"/>
  <c r="W434" i="3"/>
  <c r="W435" i="3"/>
  <c r="X435" i="3" s="1"/>
  <c r="W436" i="3"/>
  <c r="X436" i="3" s="1"/>
  <c r="W437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W415" i="3"/>
  <c r="X415" i="3" s="1"/>
  <c r="V415" i="3"/>
  <c r="W414" i="3"/>
  <c r="X414" i="3" s="1"/>
  <c r="V414" i="3"/>
  <c r="W413" i="3"/>
  <c r="X413" i="3" s="1"/>
  <c r="V413" i="3"/>
  <c r="W412" i="3"/>
  <c r="X412" i="3" s="1"/>
  <c r="V412" i="3"/>
  <c r="W411" i="3"/>
  <c r="X411" i="3" s="1"/>
  <c r="V411" i="3"/>
  <c r="W410" i="3"/>
  <c r="X410" i="3" s="1"/>
  <c r="V410" i="3"/>
  <c r="W409" i="3"/>
  <c r="X409" i="3" s="1"/>
  <c r="V409" i="3"/>
  <c r="W408" i="3"/>
  <c r="X408" i="3" s="1"/>
  <c r="V408" i="3"/>
  <c r="W407" i="3"/>
  <c r="X407" i="3" s="1"/>
  <c r="V407" i="3"/>
  <c r="W406" i="3"/>
  <c r="X406" i="3" s="1"/>
  <c r="V406" i="3"/>
  <c r="W405" i="3"/>
  <c r="X405" i="3" s="1"/>
  <c r="V405" i="3"/>
  <c r="W404" i="3"/>
  <c r="X404" i="3" s="1"/>
  <c r="V404" i="3"/>
  <c r="W403" i="3"/>
  <c r="X403" i="3" s="1"/>
  <c r="V403" i="3"/>
  <c r="W402" i="3"/>
  <c r="X402" i="3" s="1"/>
  <c r="V402" i="3"/>
  <c r="W401" i="3"/>
  <c r="X401" i="3" s="1"/>
  <c r="V401" i="3"/>
  <c r="W400" i="3"/>
  <c r="X400" i="3" s="1"/>
  <c r="V400" i="3"/>
  <c r="W399" i="3"/>
  <c r="X399" i="3" s="1"/>
  <c r="V399" i="3"/>
  <c r="W398" i="3"/>
  <c r="X398" i="3" s="1"/>
  <c r="V398" i="3"/>
  <c r="W397" i="3"/>
  <c r="X397" i="3" s="1"/>
  <c r="V397" i="3"/>
  <c r="W396" i="3"/>
  <c r="X396" i="3" s="1"/>
  <c r="V396" i="3"/>
  <c r="W395" i="3"/>
  <c r="X395" i="3" s="1"/>
  <c r="V395" i="3"/>
  <c r="W394" i="3"/>
  <c r="X394" i="3" s="1"/>
  <c r="V394" i="3"/>
  <c r="W393" i="3"/>
  <c r="X393" i="3" s="1"/>
  <c r="V393" i="3"/>
  <c r="W392" i="3"/>
  <c r="X392" i="3" s="1"/>
  <c r="V392" i="3"/>
  <c r="W391" i="3"/>
  <c r="X391" i="3" s="1"/>
  <c r="V391" i="3"/>
  <c r="W390" i="3"/>
  <c r="X390" i="3" s="1"/>
  <c r="V390" i="3"/>
  <c r="W389" i="3"/>
  <c r="X389" i="3" s="1"/>
  <c r="V389" i="3"/>
  <c r="W388" i="3"/>
  <c r="X388" i="3" s="1"/>
  <c r="V388" i="3"/>
  <c r="W387" i="3"/>
  <c r="X387" i="3" s="1"/>
  <c r="V387" i="3"/>
  <c r="W386" i="3"/>
  <c r="X386" i="3" s="1"/>
  <c r="V386" i="3"/>
  <c r="W385" i="3"/>
  <c r="X385" i="3" s="1"/>
  <c r="V385" i="3"/>
  <c r="W384" i="3"/>
  <c r="X384" i="3" s="1"/>
  <c r="V384" i="3"/>
  <c r="W383" i="3"/>
  <c r="X383" i="3" s="1"/>
  <c r="V383" i="3"/>
  <c r="W382" i="3"/>
  <c r="X382" i="3" s="1"/>
  <c r="V382" i="3"/>
  <c r="W381" i="3"/>
  <c r="X381" i="3" s="1"/>
  <c r="V381" i="3"/>
  <c r="W380" i="3"/>
  <c r="X380" i="3" s="1"/>
  <c r="V380" i="3"/>
  <c r="W379" i="3"/>
  <c r="X379" i="3" s="1"/>
  <c r="V379" i="3"/>
  <c r="W378" i="3"/>
  <c r="X378" i="3" s="1"/>
  <c r="V378" i="3"/>
  <c r="W377" i="3"/>
  <c r="X377" i="3" s="1"/>
  <c r="V377" i="3"/>
  <c r="W376" i="3"/>
  <c r="X376" i="3" s="1"/>
  <c r="V376" i="3"/>
  <c r="W375" i="3"/>
  <c r="X375" i="3" s="1"/>
  <c r="V375" i="3"/>
  <c r="W374" i="3"/>
  <c r="X374" i="3" s="1"/>
  <c r="V374" i="3"/>
  <c r="W373" i="3"/>
  <c r="X373" i="3" s="1"/>
  <c r="V373" i="3"/>
  <c r="W372" i="3"/>
  <c r="X372" i="3" s="1"/>
  <c r="V372" i="3"/>
  <c r="W371" i="3"/>
  <c r="X371" i="3" s="1"/>
  <c r="V371" i="3"/>
  <c r="W370" i="3"/>
  <c r="X370" i="3" s="1"/>
  <c r="V370" i="3"/>
  <c r="W369" i="3"/>
  <c r="X369" i="3" s="1"/>
  <c r="V369" i="3"/>
  <c r="W368" i="3"/>
  <c r="X368" i="3" s="1"/>
  <c r="V368" i="3"/>
  <c r="W367" i="3"/>
  <c r="X367" i="3" s="1"/>
  <c r="V367" i="3"/>
  <c r="W366" i="3"/>
  <c r="X366" i="3" s="1"/>
  <c r="V366" i="3"/>
  <c r="W365" i="3"/>
  <c r="X365" i="3" s="1"/>
  <c r="V365" i="3"/>
  <c r="W364" i="3"/>
  <c r="X364" i="3" s="1"/>
  <c r="V364" i="3"/>
  <c r="W363" i="3"/>
  <c r="X363" i="3" s="1"/>
  <c r="V363" i="3"/>
  <c r="W362" i="3"/>
  <c r="X362" i="3" s="1"/>
  <c r="V362" i="3"/>
  <c r="W361" i="3"/>
  <c r="X361" i="3" s="1"/>
  <c r="V361" i="3"/>
  <c r="W360" i="3"/>
  <c r="X360" i="3" s="1"/>
  <c r="V360" i="3"/>
  <c r="W359" i="3"/>
  <c r="X359" i="3" s="1"/>
  <c r="V359" i="3"/>
  <c r="W358" i="3"/>
  <c r="X358" i="3" s="1"/>
  <c r="V358" i="3"/>
  <c r="W357" i="3"/>
  <c r="X357" i="3" s="1"/>
  <c r="V357" i="3"/>
  <c r="W356" i="3"/>
  <c r="X356" i="3" s="1"/>
  <c r="V356" i="3"/>
  <c r="W355" i="3"/>
  <c r="X355" i="3" s="1"/>
  <c r="V355" i="3"/>
  <c r="W354" i="3"/>
  <c r="X354" i="3" s="1"/>
  <c r="V354" i="3"/>
  <c r="W353" i="3"/>
  <c r="X353" i="3" s="1"/>
  <c r="V353" i="3"/>
  <c r="W352" i="3"/>
  <c r="X352" i="3" s="1"/>
  <c r="V352" i="3"/>
  <c r="W351" i="3"/>
  <c r="X351" i="3" s="1"/>
  <c r="V351" i="3"/>
  <c r="W350" i="3"/>
  <c r="X350" i="3" s="1"/>
  <c r="V350" i="3"/>
  <c r="W349" i="3"/>
  <c r="X349" i="3" s="1"/>
  <c r="V349" i="3"/>
  <c r="W348" i="3"/>
  <c r="X348" i="3" s="1"/>
  <c r="V348" i="3"/>
  <c r="W347" i="3"/>
  <c r="X347" i="3" s="1"/>
  <c r="V347" i="3"/>
  <c r="W346" i="3"/>
  <c r="X346" i="3" s="1"/>
  <c r="V346" i="3"/>
  <c r="W345" i="3"/>
  <c r="X345" i="3" s="1"/>
  <c r="V345" i="3"/>
  <c r="W344" i="3"/>
  <c r="X344" i="3" s="1"/>
  <c r="V344" i="3"/>
  <c r="W343" i="3"/>
  <c r="X343" i="3" s="1"/>
  <c r="V343" i="3"/>
  <c r="W342" i="3"/>
  <c r="X342" i="3" s="1"/>
  <c r="V342" i="3"/>
  <c r="W341" i="3"/>
  <c r="X341" i="3" s="1"/>
  <c r="V341" i="3"/>
  <c r="W340" i="3"/>
  <c r="X340" i="3" s="1"/>
  <c r="V340" i="3"/>
  <c r="W339" i="3"/>
  <c r="X339" i="3" s="1"/>
  <c r="V339" i="3"/>
  <c r="W338" i="3"/>
  <c r="X338" i="3" s="1"/>
  <c r="V338" i="3"/>
  <c r="W337" i="3"/>
  <c r="X337" i="3" s="1"/>
  <c r="V337" i="3"/>
  <c r="W336" i="3"/>
  <c r="X336" i="3" s="1"/>
  <c r="V336" i="3"/>
  <c r="W335" i="3"/>
  <c r="X335" i="3" s="1"/>
  <c r="V335" i="3"/>
  <c r="W334" i="3"/>
  <c r="X334" i="3" s="1"/>
  <c r="V334" i="3"/>
  <c r="W333" i="3"/>
  <c r="X333" i="3" s="1"/>
  <c r="V333" i="3"/>
  <c r="W332" i="3"/>
  <c r="X332" i="3" s="1"/>
  <c r="V332" i="3"/>
  <c r="W331" i="3"/>
  <c r="X331" i="3" s="1"/>
  <c r="V331" i="3"/>
  <c r="W330" i="3"/>
  <c r="X330" i="3" s="1"/>
  <c r="V330" i="3"/>
  <c r="W329" i="3"/>
  <c r="X329" i="3" s="1"/>
  <c r="V329" i="3"/>
  <c r="W328" i="3"/>
  <c r="X328" i="3" s="1"/>
  <c r="V328" i="3"/>
  <c r="W327" i="3"/>
  <c r="X327" i="3" s="1"/>
  <c r="V327" i="3"/>
  <c r="W326" i="3"/>
  <c r="X326" i="3" s="1"/>
  <c r="V326" i="3"/>
  <c r="X325" i="3"/>
  <c r="W325" i="3"/>
  <c r="V325" i="3"/>
  <c r="W324" i="3"/>
  <c r="X324" i="3" s="1"/>
  <c r="V324" i="3"/>
  <c r="W323" i="3"/>
  <c r="X323" i="3" s="1"/>
  <c r="V323" i="3"/>
  <c r="W322" i="3"/>
  <c r="X322" i="3" s="1"/>
  <c r="V322" i="3"/>
  <c r="W321" i="3"/>
  <c r="X321" i="3" s="1"/>
  <c r="V321" i="3"/>
  <c r="W320" i="3"/>
  <c r="X320" i="3" s="1"/>
  <c r="V320" i="3"/>
  <c r="W319" i="3"/>
  <c r="X319" i="3" s="1"/>
  <c r="V319" i="3"/>
  <c r="W318" i="3"/>
  <c r="X318" i="3" s="1"/>
  <c r="V318" i="3"/>
  <c r="W317" i="3"/>
  <c r="X317" i="3" s="1"/>
  <c r="V317" i="3"/>
  <c r="W316" i="3"/>
  <c r="X316" i="3" s="1"/>
  <c r="V316" i="3"/>
  <c r="W315" i="3"/>
  <c r="X315" i="3" s="1"/>
  <c r="V315" i="3"/>
  <c r="W314" i="3"/>
  <c r="X314" i="3" s="1"/>
  <c r="V314" i="3"/>
  <c r="W313" i="3"/>
  <c r="X313" i="3" s="1"/>
  <c r="V313" i="3"/>
  <c r="W312" i="3"/>
  <c r="X312" i="3" s="1"/>
  <c r="V312" i="3"/>
  <c r="W311" i="3"/>
  <c r="X311" i="3" s="1"/>
  <c r="V311" i="3"/>
  <c r="W310" i="3"/>
  <c r="X310" i="3" s="1"/>
  <c r="V310" i="3"/>
  <c r="W309" i="3"/>
  <c r="X309" i="3" s="1"/>
  <c r="V309" i="3"/>
  <c r="W308" i="3"/>
  <c r="X308" i="3" s="1"/>
  <c r="V308" i="3"/>
  <c r="W307" i="3"/>
  <c r="X307" i="3" s="1"/>
  <c r="V307" i="3"/>
  <c r="W306" i="3"/>
  <c r="X306" i="3" s="1"/>
  <c r="V306" i="3"/>
  <c r="W305" i="3"/>
  <c r="X305" i="3" s="1"/>
  <c r="V305" i="3"/>
  <c r="W304" i="3"/>
  <c r="X304" i="3" s="1"/>
  <c r="V304" i="3"/>
  <c r="W303" i="3"/>
  <c r="X303" i="3" s="1"/>
  <c r="V303" i="3"/>
  <c r="W302" i="3"/>
  <c r="X302" i="3" s="1"/>
  <c r="V302" i="3"/>
  <c r="W301" i="3"/>
  <c r="X301" i="3" s="1"/>
  <c r="V301" i="3"/>
  <c r="W300" i="3"/>
  <c r="X300" i="3" s="1"/>
  <c r="V300" i="3"/>
  <c r="W299" i="3"/>
  <c r="X299" i="3" s="1"/>
  <c r="V299" i="3"/>
  <c r="W298" i="3"/>
  <c r="X298" i="3" s="1"/>
  <c r="V298" i="3"/>
  <c r="W297" i="3"/>
  <c r="X297" i="3" s="1"/>
  <c r="V297" i="3"/>
  <c r="W296" i="3"/>
  <c r="X296" i="3" s="1"/>
  <c r="V296" i="3"/>
  <c r="W295" i="3"/>
  <c r="X295" i="3" s="1"/>
  <c r="V295" i="3"/>
  <c r="W294" i="3"/>
  <c r="X294" i="3" s="1"/>
  <c r="V294" i="3"/>
  <c r="W293" i="3"/>
  <c r="X293" i="3" s="1"/>
  <c r="V293" i="3"/>
  <c r="W292" i="3"/>
  <c r="X292" i="3" s="1"/>
  <c r="V292" i="3"/>
  <c r="W291" i="3"/>
  <c r="X291" i="3" s="1"/>
  <c r="V291" i="3"/>
  <c r="W290" i="3"/>
  <c r="X290" i="3" s="1"/>
  <c r="V290" i="3"/>
  <c r="W289" i="3"/>
  <c r="X289" i="3" s="1"/>
  <c r="V289" i="3"/>
  <c r="W288" i="3"/>
  <c r="X288" i="3" s="1"/>
  <c r="V288" i="3"/>
  <c r="W287" i="3"/>
  <c r="X287" i="3" s="1"/>
  <c r="V287" i="3"/>
  <c r="W286" i="3"/>
  <c r="X286" i="3" s="1"/>
  <c r="V286" i="3"/>
  <c r="W285" i="3"/>
  <c r="X285" i="3" s="1"/>
  <c r="V285" i="3"/>
  <c r="W284" i="3"/>
  <c r="X284" i="3" s="1"/>
  <c r="V284" i="3"/>
  <c r="W283" i="3"/>
  <c r="X283" i="3" s="1"/>
  <c r="V283" i="3"/>
  <c r="W282" i="3"/>
  <c r="X282" i="3" s="1"/>
  <c r="V282" i="3"/>
  <c r="W281" i="3"/>
  <c r="X281" i="3" s="1"/>
  <c r="V281" i="3"/>
  <c r="W280" i="3"/>
  <c r="X280" i="3" s="1"/>
  <c r="V280" i="3"/>
  <c r="W279" i="3"/>
  <c r="X279" i="3" s="1"/>
  <c r="V279" i="3"/>
  <c r="W278" i="3"/>
  <c r="X278" i="3" s="1"/>
  <c r="V278" i="3"/>
  <c r="W277" i="3"/>
  <c r="X277" i="3" s="1"/>
  <c r="V277" i="3"/>
  <c r="W276" i="3"/>
  <c r="X276" i="3" s="1"/>
  <c r="V276" i="3"/>
  <c r="W275" i="3"/>
  <c r="X275" i="3" s="1"/>
  <c r="V275" i="3"/>
  <c r="W274" i="3"/>
  <c r="X274" i="3" s="1"/>
  <c r="V274" i="3"/>
  <c r="W273" i="3"/>
  <c r="X273" i="3" s="1"/>
  <c r="V273" i="3"/>
  <c r="W272" i="3"/>
  <c r="X272" i="3" s="1"/>
  <c r="V272" i="3"/>
  <c r="W271" i="3"/>
  <c r="X271" i="3" s="1"/>
  <c r="V271" i="3"/>
  <c r="W270" i="3"/>
  <c r="X270" i="3" s="1"/>
  <c r="V270" i="3"/>
  <c r="W269" i="3"/>
  <c r="X269" i="3" s="1"/>
  <c r="V269" i="3"/>
  <c r="W268" i="3"/>
  <c r="X268" i="3" s="1"/>
  <c r="V268" i="3"/>
  <c r="W267" i="3"/>
  <c r="X267" i="3" s="1"/>
  <c r="V267" i="3"/>
  <c r="W266" i="3"/>
  <c r="X266" i="3" s="1"/>
  <c r="V266" i="3"/>
  <c r="W265" i="3"/>
  <c r="X265" i="3" s="1"/>
  <c r="V265" i="3"/>
  <c r="W264" i="3"/>
  <c r="X264" i="3" s="1"/>
  <c r="V264" i="3"/>
  <c r="W263" i="3"/>
  <c r="X263" i="3" s="1"/>
  <c r="V263" i="3"/>
  <c r="W262" i="3"/>
  <c r="X262" i="3" s="1"/>
  <c r="V262" i="3"/>
  <c r="W261" i="3"/>
  <c r="X261" i="3" s="1"/>
  <c r="V261" i="3"/>
  <c r="W260" i="3"/>
  <c r="X260" i="3" s="1"/>
  <c r="V260" i="3"/>
  <c r="W259" i="3"/>
  <c r="X259" i="3" s="1"/>
  <c r="V259" i="3"/>
  <c r="W258" i="3"/>
  <c r="X258" i="3" s="1"/>
  <c r="V258" i="3"/>
  <c r="W257" i="3"/>
  <c r="X257" i="3" s="1"/>
  <c r="V257" i="3"/>
  <c r="W256" i="3"/>
  <c r="X256" i="3" s="1"/>
  <c r="V256" i="3"/>
  <c r="W255" i="3"/>
  <c r="X255" i="3" s="1"/>
  <c r="V255" i="3"/>
  <c r="W254" i="3"/>
  <c r="X254" i="3" s="1"/>
  <c r="V254" i="3"/>
  <c r="W253" i="3"/>
  <c r="X253" i="3" s="1"/>
  <c r="V253" i="3"/>
  <c r="W252" i="3"/>
  <c r="X252" i="3" s="1"/>
  <c r="V252" i="3"/>
  <c r="W251" i="3"/>
  <c r="X251" i="3" s="1"/>
  <c r="V251" i="3"/>
  <c r="W250" i="3"/>
  <c r="X250" i="3" s="1"/>
  <c r="V250" i="3"/>
  <c r="W249" i="3"/>
  <c r="X249" i="3" s="1"/>
  <c r="V249" i="3"/>
  <c r="W248" i="3"/>
  <c r="X248" i="3" s="1"/>
  <c r="V248" i="3"/>
  <c r="W247" i="3"/>
  <c r="X247" i="3" s="1"/>
  <c r="V247" i="3"/>
  <c r="W246" i="3"/>
  <c r="X246" i="3" s="1"/>
  <c r="V246" i="3"/>
  <c r="W245" i="3"/>
  <c r="X245" i="3" s="1"/>
  <c r="V245" i="3"/>
  <c r="W244" i="3"/>
  <c r="X244" i="3" s="1"/>
  <c r="V244" i="3"/>
  <c r="W243" i="3"/>
  <c r="X243" i="3" s="1"/>
  <c r="V243" i="3"/>
  <c r="W242" i="3"/>
  <c r="X242" i="3" s="1"/>
  <c r="V242" i="3"/>
  <c r="W241" i="3"/>
  <c r="X241" i="3" s="1"/>
  <c r="V241" i="3"/>
  <c r="W240" i="3"/>
  <c r="X240" i="3" s="1"/>
  <c r="V240" i="3"/>
  <c r="W239" i="3"/>
  <c r="X239" i="3" s="1"/>
  <c r="V239" i="3"/>
  <c r="W238" i="3"/>
  <c r="X238" i="3" s="1"/>
  <c r="V238" i="3"/>
  <c r="W237" i="3"/>
  <c r="X237" i="3" s="1"/>
  <c r="V237" i="3"/>
  <c r="W236" i="3"/>
  <c r="X236" i="3" s="1"/>
  <c r="V236" i="3"/>
  <c r="W235" i="3"/>
  <c r="X235" i="3" s="1"/>
  <c r="V235" i="3"/>
  <c r="W234" i="3"/>
  <c r="X234" i="3" s="1"/>
  <c r="V234" i="3"/>
  <c r="W233" i="3"/>
  <c r="X233" i="3" s="1"/>
  <c r="V233" i="3"/>
  <c r="W232" i="3"/>
  <c r="X232" i="3" s="1"/>
  <c r="V232" i="3"/>
  <c r="W231" i="3"/>
  <c r="X231" i="3" s="1"/>
  <c r="V231" i="3"/>
  <c r="W230" i="3"/>
  <c r="X230" i="3" s="1"/>
  <c r="V230" i="3"/>
  <c r="W229" i="3"/>
  <c r="X229" i="3" s="1"/>
  <c r="V229" i="3"/>
  <c r="W228" i="3"/>
  <c r="X228" i="3" s="1"/>
  <c r="V228" i="3"/>
  <c r="W227" i="3"/>
  <c r="X227" i="3" s="1"/>
  <c r="V227" i="3"/>
  <c r="W226" i="3"/>
  <c r="X226" i="3" s="1"/>
  <c r="V226" i="3"/>
  <c r="W225" i="3"/>
  <c r="X225" i="3" s="1"/>
  <c r="V225" i="3"/>
  <c r="W224" i="3"/>
  <c r="X224" i="3" s="1"/>
  <c r="V224" i="3"/>
  <c r="W223" i="3"/>
  <c r="X223" i="3" s="1"/>
  <c r="V223" i="3"/>
  <c r="W222" i="3"/>
  <c r="X222" i="3" s="1"/>
  <c r="V222" i="3"/>
  <c r="W221" i="3"/>
  <c r="X221" i="3" s="1"/>
  <c r="V221" i="3"/>
  <c r="W220" i="3"/>
  <c r="X220" i="3" s="1"/>
  <c r="V220" i="3"/>
  <c r="W219" i="3"/>
  <c r="X219" i="3" s="1"/>
  <c r="V219" i="3"/>
  <c r="W218" i="3"/>
  <c r="X218" i="3" s="1"/>
  <c r="V218" i="3"/>
  <c r="W217" i="3"/>
  <c r="X217" i="3" s="1"/>
  <c r="V217" i="3"/>
  <c r="W216" i="3"/>
  <c r="X216" i="3" s="1"/>
  <c r="V216" i="3"/>
  <c r="W215" i="3"/>
  <c r="X215" i="3" s="1"/>
  <c r="V215" i="3"/>
  <c r="W214" i="3"/>
  <c r="X214" i="3" s="1"/>
  <c r="V214" i="3"/>
  <c r="W213" i="3"/>
  <c r="X213" i="3" s="1"/>
  <c r="V213" i="3"/>
  <c r="W212" i="3"/>
  <c r="X212" i="3" s="1"/>
  <c r="V212" i="3"/>
  <c r="W211" i="3"/>
  <c r="X211" i="3" s="1"/>
  <c r="V211" i="3"/>
  <c r="W210" i="3"/>
  <c r="X210" i="3" s="1"/>
  <c r="V210" i="3"/>
  <c r="W209" i="3"/>
  <c r="X209" i="3" s="1"/>
  <c r="V209" i="3"/>
  <c r="W208" i="3"/>
  <c r="X208" i="3" s="1"/>
  <c r="V208" i="3"/>
  <c r="W207" i="3"/>
  <c r="X207" i="3" s="1"/>
  <c r="V207" i="3"/>
  <c r="W206" i="3"/>
  <c r="X206" i="3" s="1"/>
  <c r="V206" i="3"/>
  <c r="W205" i="3"/>
  <c r="X205" i="3" s="1"/>
  <c r="V205" i="3"/>
  <c r="W204" i="3"/>
  <c r="X204" i="3" s="1"/>
  <c r="V204" i="3"/>
  <c r="W203" i="3"/>
  <c r="X203" i="3" s="1"/>
  <c r="V203" i="3"/>
  <c r="W202" i="3"/>
  <c r="X202" i="3" s="1"/>
  <c r="V202" i="3"/>
  <c r="W201" i="3"/>
  <c r="X201" i="3" s="1"/>
  <c r="V201" i="3"/>
  <c r="W200" i="3"/>
  <c r="X200" i="3" s="1"/>
  <c r="V200" i="3"/>
  <c r="W199" i="3"/>
  <c r="X199" i="3" s="1"/>
  <c r="V199" i="3"/>
  <c r="W198" i="3"/>
  <c r="X198" i="3" s="1"/>
  <c r="V198" i="3"/>
  <c r="W197" i="3"/>
  <c r="X197" i="3" s="1"/>
  <c r="V197" i="3"/>
  <c r="W196" i="3"/>
  <c r="X196" i="3" s="1"/>
  <c r="V196" i="3"/>
  <c r="W195" i="3"/>
  <c r="X195" i="3" s="1"/>
  <c r="V195" i="3"/>
  <c r="W194" i="3"/>
  <c r="X194" i="3" s="1"/>
  <c r="V194" i="3"/>
  <c r="W193" i="3"/>
  <c r="X193" i="3" s="1"/>
  <c r="V193" i="3"/>
  <c r="W192" i="3"/>
  <c r="X192" i="3" s="1"/>
  <c r="V192" i="3"/>
  <c r="W191" i="3"/>
  <c r="X191" i="3" s="1"/>
  <c r="V191" i="3"/>
  <c r="W190" i="3"/>
  <c r="X190" i="3" s="1"/>
  <c r="V190" i="3"/>
  <c r="W189" i="3"/>
  <c r="X189" i="3" s="1"/>
  <c r="V189" i="3"/>
  <c r="W188" i="3"/>
  <c r="X188" i="3" s="1"/>
  <c r="V188" i="3"/>
  <c r="W187" i="3"/>
  <c r="X187" i="3" s="1"/>
  <c r="V187" i="3"/>
  <c r="W186" i="3"/>
  <c r="X186" i="3" s="1"/>
  <c r="V186" i="3"/>
  <c r="W185" i="3"/>
  <c r="X185" i="3" s="1"/>
  <c r="V185" i="3"/>
  <c r="W184" i="3"/>
  <c r="X184" i="3" s="1"/>
  <c r="V184" i="3"/>
  <c r="W183" i="3"/>
  <c r="X183" i="3" s="1"/>
  <c r="V183" i="3"/>
  <c r="W182" i="3"/>
  <c r="X182" i="3" s="1"/>
  <c r="V182" i="3"/>
  <c r="W181" i="3"/>
  <c r="X181" i="3" s="1"/>
  <c r="V181" i="3"/>
  <c r="W180" i="3"/>
  <c r="X180" i="3" s="1"/>
  <c r="V180" i="3"/>
  <c r="W179" i="3"/>
  <c r="X179" i="3" s="1"/>
  <c r="V179" i="3"/>
  <c r="W178" i="3"/>
  <c r="X178" i="3" s="1"/>
  <c r="V178" i="3"/>
  <c r="W177" i="3"/>
  <c r="X177" i="3" s="1"/>
  <c r="V177" i="3"/>
  <c r="W176" i="3"/>
  <c r="X176" i="3" s="1"/>
  <c r="V176" i="3"/>
  <c r="W175" i="3"/>
  <c r="X175" i="3" s="1"/>
  <c r="V175" i="3"/>
  <c r="W174" i="3"/>
  <c r="X174" i="3" s="1"/>
  <c r="V174" i="3"/>
  <c r="W173" i="3"/>
  <c r="X173" i="3" s="1"/>
  <c r="V173" i="3"/>
  <c r="W172" i="3"/>
  <c r="X172" i="3" s="1"/>
  <c r="V172" i="3"/>
  <c r="W171" i="3"/>
  <c r="X171" i="3" s="1"/>
  <c r="V171" i="3"/>
  <c r="W170" i="3"/>
  <c r="X170" i="3" s="1"/>
  <c r="V170" i="3"/>
  <c r="W169" i="3"/>
  <c r="X169" i="3" s="1"/>
  <c r="V169" i="3"/>
  <c r="W168" i="3"/>
  <c r="X168" i="3" s="1"/>
  <c r="V168" i="3"/>
  <c r="W167" i="3"/>
  <c r="X167" i="3" s="1"/>
  <c r="V167" i="3"/>
  <c r="W166" i="3"/>
  <c r="X166" i="3" s="1"/>
  <c r="V166" i="3"/>
  <c r="W165" i="3"/>
  <c r="X165" i="3" s="1"/>
  <c r="V165" i="3"/>
  <c r="W164" i="3"/>
  <c r="X164" i="3" s="1"/>
  <c r="V164" i="3"/>
  <c r="W163" i="3"/>
  <c r="X163" i="3" s="1"/>
  <c r="V163" i="3"/>
  <c r="W162" i="3"/>
  <c r="X162" i="3" s="1"/>
  <c r="V162" i="3"/>
  <c r="W161" i="3"/>
  <c r="X161" i="3" s="1"/>
  <c r="V161" i="3"/>
  <c r="W160" i="3"/>
  <c r="X160" i="3" s="1"/>
  <c r="V160" i="3"/>
  <c r="W159" i="3"/>
  <c r="X159" i="3" s="1"/>
  <c r="V159" i="3"/>
  <c r="W158" i="3"/>
  <c r="X158" i="3" s="1"/>
  <c r="V158" i="3"/>
  <c r="W157" i="3"/>
  <c r="X157" i="3" s="1"/>
  <c r="V157" i="3"/>
  <c r="W156" i="3"/>
  <c r="X156" i="3" s="1"/>
  <c r="V156" i="3"/>
  <c r="W155" i="3"/>
  <c r="X155" i="3" s="1"/>
  <c r="V155" i="3"/>
  <c r="W154" i="3"/>
  <c r="X154" i="3" s="1"/>
  <c r="V154" i="3"/>
  <c r="W153" i="3"/>
  <c r="X153" i="3" s="1"/>
  <c r="V153" i="3"/>
  <c r="W152" i="3"/>
  <c r="X152" i="3" s="1"/>
  <c r="V152" i="3"/>
  <c r="W151" i="3"/>
  <c r="X151" i="3" s="1"/>
  <c r="V151" i="3"/>
  <c r="W150" i="3"/>
  <c r="X150" i="3" s="1"/>
  <c r="V150" i="3"/>
  <c r="W149" i="3"/>
  <c r="X149" i="3" s="1"/>
  <c r="V149" i="3"/>
  <c r="W148" i="3"/>
  <c r="X148" i="3" s="1"/>
  <c r="V148" i="3"/>
  <c r="W147" i="3"/>
  <c r="X147" i="3" s="1"/>
  <c r="V147" i="3"/>
  <c r="W146" i="3"/>
  <c r="X146" i="3" s="1"/>
  <c r="V146" i="3"/>
  <c r="W145" i="3"/>
  <c r="X145" i="3" s="1"/>
  <c r="V145" i="3"/>
  <c r="W144" i="3"/>
  <c r="X144" i="3" s="1"/>
  <c r="V144" i="3"/>
  <c r="W143" i="3"/>
  <c r="X143" i="3" s="1"/>
  <c r="V143" i="3"/>
  <c r="W142" i="3"/>
  <c r="X142" i="3" s="1"/>
  <c r="V142" i="3"/>
  <c r="W141" i="3"/>
  <c r="X141" i="3" s="1"/>
  <c r="V141" i="3"/>
  <c r="W140" i="3"/>
  <c r="X140" i="3" s="1"/>
  <c r="V140" i="3"/>
  <c r="W139" i="3"/>
  <c r="X139" i="3" s="1"/>
  <c r="V139" i="3"/>
  <c r="W138" i="3"/>
  <c r="X138" i="3" s="1"/>
  <c r="V138" i="3"/>
  <c r="W137" i="3"/>
  <c r="X137" i="3" s="1"/>
  <c r="V137" i="3"/>
  <c r="W136" i="3"/>
  <c r="X136" i="3" s="1"/>
  <c r="V136" i="3"/>
  <c r="W135" i="3"/>
  <c r="X135" i="3" s="1"/>
  <c r="V135" i="3"/>
  <c r="W134" i="3"/>
  <c r="X134" i="3" s="1"/>
  <c r="V134" i="3"/>
  <c r="W133" i="3"/>
  <c r="X133" i="3" s="1"/>
  <c r="V133" i="3"/>
  <c r="W132" i="3"/>
  <c r="X132" i="3" s="1"/>
  <c r="V132" i="3"/>
  <c r="W131" i="3"/>
  <c r="X131" i="3" s="1"/>
  <c r="V131" i="3"/>
  <c r="W130" i="3"/>
  <c r="X130" i="3" s="1"/>
  <c r="V130" i="3"/>
  <c r="W129" i="3"/>
  <c r="X129" i="3" s="1"/>
  <c r="V129" i="3"/>
  <c r="W128" i="3"/>
  <c r="X128" i="3" s="1"/>
  <c r="V128" i="3"/>
  <c r="W127" i="3"/>
  <c r="X127" i="3" s="1"/>
  <c r="V127" i="3"/>
  <c r="W126" i="3"/>
  <c r="X126" i="3" s="1"/>
  <c r="V126" i="3"/>
  <c r="W125" i="3"/>
  <c r="X125" i="3" s="1"/>
  <c r="V125" i="3"/>
  <c r="W124" i="3"/>
  <c r="X124" i="3" s="1"/>
  <c r="V124" i="3"/>
  <c r="W123" i="3"/>
  <c r="X123" i="3" s="1"/>
  <c r="V123" i="3"/>
  <c r="W122" i="3"/>
  <c r="X122" i="3" s="1"/>
  <c r="V122" i="3"/>
  <c r="W121" i="3"/>
  <c r="X121" i="3" s="1"/>
  <c r="V121" i="3"/>
  <c r="W120" i="3"/>
  <c r="X120" i="3" s="1"/>
  <c r="V120" i="3"/>
  <c r="W119" i="3"/>
  <c r="X119" i="3" s="1"/>
  <c r="V119" i="3"/>
  <c r="W118" i="3"/>
  <c r="X118" i="3" s="1"/>
  <c r="V118" i="3"/>
  <c r="W117" i="3"/>
  <c r="X117" i="3" s="1"/>
  <c r="V117" i="3"/>
  <c r="W116" i="3"/>
  <c r="X116" i="3" s="1"/>
  <c r="V116" i="3"/>
  <c r="W115" i="3"/>
  <c r="X115" i="3" s="1"/>
  <c r="V115" i="3"/>
  <c r="W114" i="3"/>
  <c r="X114" i="3" s="1"/>
  <c r="V114" i="3"/>
  <c r="W113" i="3"/>
  <c r="X113" i="3" s="1"/>
  <c r="V113" i="3"/>
  <c r="W112" i="3"/>
  <c r="X112" i="3" s="1"/>
  <c r="V112" i="3"/>
  <c r="W111" i="3"/>
  <c r="X111" i="3" s="1"/>
  <c r="V111" i="3"/>
  <c r="W110" i="3"/>
  <c r="X110" i="3" s="1"/>
  <c r="V110" i="3"/>
  <c r="W109" i="3"/>
  <c r="X109" i="3" s="1"/>
  <c r="V109" i="3"/>
  <c r="W108" i="3"/>
  <c r="X108" i="3" s="1"/>
  <c r="V108" i="3"/>
  <c r="W107" i="3"/>
  <c r="X107" i="3" s="1"/>
  <c r="V107" i="3"/>
  <c r="W106" i="3"/>
  <c r="X106" i="3" s="1"/>
  <c r="V106" i="3"/>
  <c r="W105" i="3"/>
  <c r="X105" i="3" s="1"/>
  <c r="V105" i="3"/>
  <c r="W104" i="3"/>
  <c r="X104" i="3" s="1"/>
  <c r="V104" i="3"/>
  <c r="W103" i="3"/>
  <c r="X103" i="3" s="1"/>
  <c r="V103" i="3"/>
  <c r="W102" i="3"/>
  <c r="X102" i="3" s="1"/>
  <c r="V102" i="3"/>
  <c r="W101" i="3"/>
  <c r="X101" i="3" s="1"/>
  <c r="V101" i="3"/>
  <c r="W100" i="3"/>
  <c r="X100" i="3" s="1"/>
  <c r="V100" i="3"/>
  <c r="W99" i="3"/>
  <c r="X99" i="3" s="1"/>
  <c r="V99" i="3"/>
  <c r="W98" i="3"/>
  <c r="X98" i="3" s="1"/>
  <c r="V98" i="3"/>
  <c r="W97" i="3"/>
  <c r="X97" i="3" s="1"/>
  <c r="V97" i="3"/>
  <c r="W96" i="3"/>
  <c r="X96" i="3" s="1"/>
  <c r="V96" i="3"/>
  <c r="W95" i="3"/>
  <c r="X95" i="3" s="1"/>
  <c r="V95" i="3"/>
  <c r="W94" i="3"/>
  <c r="X94" i="3" s="1"/>
  <c r="V94" i="3"/>
  <c r="W93" i="3"/>
  <c r="X93" i="3" s="1"/>
  <c r="V93" i="3"/>
  <c r="W92" i="3"/>
  <c r="X92" i="3" s="1"/>
  <c r="V92" i="3"/>
  <c r="W91" i="3"/>
  <c r="X91" i="3" s="1"/>
  <c r="V91" i="3"/>
  <c r="W90" i="3"/>
  <c r="X90" i="3" s="1"/>
  <c r="V90" i="3"/>
  <c r="W89" i="3"/>
  <c r="X89" i="3" s="1"/>
  <c r="V89" i="3"/>
  <c r="W88" i="3"/>
  <c r="X88" i="3" s="1"/>
  <c r="V88" i="3"/>
  <c r="W87" i="3"/>
  <c r="X87" i="3" s="1"/>
  <c r="V87" i="3"/>
  <c r="W86" i="3"/>
  <c r="X86" i="3" s="1"/>
  <c r="V86" i="3"/>
  <c r="W85" i="3"/>
  <c r="X85" i="3" s="1"/>
  <c r="V85" i="3"/>
  <c r="W84" i="3"/>
  <c r="X84" i="3" s="1"/>
  <c r="V84" i="3"/>
  <c r="W83" i="3"/>
  <c r="X83" i="3" s="1"/>
  <c r="V83" i="3"/>
  <c r="W82" i="3"/>
  <c r="X82" i="3" s="1"/>
  <c r="V82" i="3"/>
  <c r="W81" i="3"/>
  <c r="X81" i="3" s="1"/>
  <c r="V81" i="3"/>
  <c r="W80" i="3"/>
  <c r="X80" i="3" s="1"/>
  <c r="V80" i="3"/>
  <c r="W79" i="3"/>
  <c r="X79" i="3" s="1"/>
  <c r="V79" i="3"/>
  <c r="W78" i="3"/>
  <c r="X78" i="3" s="1"/>
  <c r="V78" i="3"/>
  <c r="W77" i="3"/>
  <c r="X77" i="3" s="1"/>
  <c r="V77" i="3"/>
  <c r="W76" i="3"/>
  <c r="X76" i="3" s="1"/>
  <c r="V76" i="3"/>
  <c r="W75" i="3"/>
  <c r="X75" i="3" s="1"/>
  <c r="V75" i="3"/>
  <c r="W74" i="3"/>
  <c r="X74" i="3" s="1"/>
  <c r="V74" i="3"/>
  <c r="W73" i="3"/>
  <c r="X73" i="3" s="1"/>
  <c r="V73" i="3"/>
  <c r="W72" i="3"/>
  <c r="X72" i="3" s="1"/>
  <c r="V72" i="3"/>
  <c r="W71" i="3"/>
  <c r="X71" i="3" s="1"/>
  <c r="V71" i="3"/>
  <c r="W70" i="3"/>
  <c r="X70" i="3" s="1"/>
  <c r="V70" i="3"/>
  <c r="W69" i="3"/>
  <c r="X69" i="3" s="1"/>
  <c r="V69" i="3"/>
  <c r="W68" i="3"/>
  <c r="X68" i="3" s="1"/>
  <c r="V68" i="3"/>
  <c r="W67" i="3"/>
  <c r="X67" i="3" s="1"/>
  <c r="V67" i="3"/>
  <c r="W66" i="3"/>
  <c r="X66" i="3" s="1"/>
  <c r="V66" i="3"/>
  <c r="W65" i="3"/>
  <c r="X65" i="3" s="1"/>
  <c r="V65" i="3"/>
  <c r="W64" i="3"/>
  <c r="X64" i="3" s="1"/>
  <c r="V64" i="3"/>
  <c r="W63" i="3"/>
  <c r="X63" i="3" s="1"/>
  <c r="V63" i="3"/>
  <c r="W62" i="3"/>
  <c r="X62" i="3" s="1"/>
  <c r="V62" i="3"/>
  <c r="W61" i="3"/>
  <c r="X61" i="3" s="1"/>
  <c r="V61" i="3"/>
  <c r="W60" i="3"/>
  <c r="X60" i="3" s="1"/>
  <c r="V60" i="3"/>
  <c r="W59" i="3"/>
  <c r="X59" i="3" s="1"/>
  <c r="V59" i="3"/>
  <c r="W58" i="3"/>
  <c r="X58" i="3" s="1"/>
  <c r="V58" i="3"/>
  <c r="W57" i="3"/>
  <c r="X57" i="3" s="1"/>
  <c r="V57" i="3"/>
  <c r="W56" i="3"/>
  <c r="X56" i="3" s="1"/>
  <c r="V56" i="3"/>
  <c r="W55" i="3"/>
  <c r="X55" i="3" s="1"/>
  <c r="V55" i="3"/>
  <c r="W54" i="3"/>
  <c r="X54" i="3" s="1"/>
  <c r="V54" i="3"/>
  <c r="W53" i="3"/>
  <c r="X53" i="3" s="1"/>
  <c r="V53" i="3"/>
  <c r="W52" i="3"/>
  <c r="X52" i="3" s="1"/>
  <c r="V52" i="3"/>
  <c r="W51" i="3"/>
  <c r="X51" i="3" s="1"/>
  <c r="V51" i="3"/>
  <c r="W50" i="3"/>
  <c r="X50" i="3" s="1"/>
  <c r="V50" i="3"/>
  <c r="H50" i="3"/>
  <c r="D50" i="3"/>
  <c r="W49" i="3"/>
  <c r="X49" i="3" s="1"/>
  <c r="V49" i="3"/>
  <c r="H49" i="3"/>
  <c r="D49" i="3"/>
  <c r="W48" i="3"/>
  <c r="X48" i="3" s="1"/>
  <c r="V48" i="3"/>
  <c r="H48" i="3"/>
  <c r="D48" i="3"/>
  <c r="W47" i="3"/>
  <c r="X47" i="3" s="1"/>
  <c r="V47" i="3"/>
  <c r="H47" i="3"/>
  <c r="D47" i="3"/>
  <c r="W46" i="3"/>
  <c r="X46" i="3" s="1"/>
  <c r="V46" i="3"/>
  <c r="H46" i="3"/>
  <c r="D46" i="3"/>
  <c r="W45" i="3"/>
  <c r="X45" i="3" s="1"/>
  <c r="V45" i="3"/>
  <c r="H45" i="3"/>
  <c r="D45" i="3"/>
  <c r="W44" i="3"/>
  <c r="X44" i="3" s="1"/>
  <c r="V44" i="3"/>
  <c r="H44" i="3"/>
  <c r="D44" i="3"/>
  <c r="W43" i="3"/>
  <c r="X43" i="3" s="1"/>
  <c r="V43" i="3"/>
  <c r="H43" i="3"/>
  <c r="D43" i="3"/>
  <c r="W42" i="3"/>
  <c r="X42" i="3" s="1"/>
  <c r="V42" i="3"/>
  <c r="H42" i="3"/>
  <c r="D42" i="3"/>
  <c r="W41" i="3"/>
  <c r="X41" i="3" s="1"/>
  <c r="V41" i="3"/>
  <c r="H41" i="3"/>
  <c r="D41" i="3"/>
  <c r="W40" i="3"/>
  <c r="X40" i="3" s="1"/>
  <c r="V40" i="3"/>
  <c r="H40" i="3"/>
  <c r="D40" i="3"/>
  <c r="W39" i="3"/>
  <c r="X39" i="3" s="1"/>
  <c r="V39" i="3"/>
  <c r="H39" i="3"/>
  <c r="D39" i="3"/>
  <c r="W38" i="3"/>
  <c r="X38" i="3" s="1"/>
  <c r="V38" i="3"/>
  <c r="H38" i="3"/>
  <c r="D38" i="3"/>
  <c r="W37" i="3"/>
  <c r="X37" i="3" s="1"/>
  <c r="V37" i="3"/>
  <c r="H37" i="3"/>
  <c r="D37" i="3"/>
  <c r="W36" i="3"/>
  <c r="X36" i="3" s="1"/>
  <c r="V36" i="3"/>
  <c r="H36" i="3"/>
  <c r="D36" i="3"/>
  <c r="W35" i="3"/>
  <c r="X35" i="3" s="1"/>
  <c r="V35" i="3"/>
  <c r="H35" i="3"/>
  <c r="D35" i="3"/>
  <c r="W34" i="3"/>
  <c r="X34" i="3" s="1"/>
  <c r="V34" i="3"/>
  <c r="H34" i="3"/>
  <c r="D34" i="3"/>
  <c r="W33" i="3"/>
  <c r="X33" i="3" s="1"/>
  <c r="V33" i="3"/>
  <c r="H33" i="3"/>
  <c r="D33" i="3"/>
  <c r="W32" i="3"/>
  <c r="X32" i="3" s="1"/>
  <c r="V32" i="3"/>
  <c r="H32" i="3"/>
  <c r="D32" i="3"/>
  <c r="W31" i="3"/>
  <c r="X31" i="3" s="1"/>
  <c r="V31" i="3"/>
  <c r="H31" i="3"/>
  <c r="D31" i="3"/>
  <c r="W30" i="3"/>
  <c r="X30" i="3" s="1"/>
  <c r="V30" i="3"/>
  <c r="H30" i="3"/>
  <c r="D30" i="3"/>
  <c r="W29" i="3"/>
  <c r="X29" i="3" s="1"/>
  <c r="V29" i="3"/>
  <c r="H29" i="3"/>
  <c r="D29" i="3"/>
  <c r="W28" i="3"/>
  <c r="X28" i="3" s="1"/>
  <c r="V28" i="3"/>
  <c r="H28" i="3"/>
  <c r="D28" i="3"/>
  <c r="W27" i="3"/>
  <c r="X27" i="3" s="1"/>
  <c r="V27" i="3"/>
  <c r="H27" i="3"/>
  <c r="D27" i="3"/>
  <c r="W26" i="3"/>
  <c r="X26" i="3" s="1"/>
  <c r="V26" i="3"/>
  <c r="H26" i="3"/>
  <c r="D26" i="3"/>
  <c r="W25" i="3"/>
  <c r="X25" i="3" s="1"/>
  <c r="V25" i="3"/>
  <c r="H25" i="3"/>
  <c r="D25" i="3"/>
  <c r="W24" i="3"/>
  <c r="X24" i="3" s="1"/>
  <c r="V24" i="3"/>
  <c r="H24" i="3"/>
  <c r="D24" i="3"/>
  <c r="W23" i="3"/>
  <c r="X23" i="3" s="1"/>
  <c r="V23" i="3"/>
  <c r="H23" i="3"/>
  <c r="D23" i="3"/>
  <c r="W22" i="3"/>
  <c r="X22" i="3" s="1"/>
  <c r="V22" i="3"/>
  <c r="H22" i="3"/>
  <c r="D22" i="3"/>
  <c r="W21" i="3"/>
  <c r="X21" i="3" s="1"/>
  <c r="V21" i="3"/>
  <c r="H21" i="3"/>
  <c r="D21" i="3"/>
  <c r="W20" i="3"/>
  <c r="X20" i="3" s="1"/>
  <c r="V20" i="3"/>
  <c r="H20" i="3"/>
  <c r="D20" i="3"/>
  <c r="W19" i="3"/>
  <c r="X19" i="3" s="1"/>
  <c r="V19" i="3"/>
  <c r="H19" i="3"/>
  <c r="D19" i="3"/>
  <c r="W18" i="3"/>
  <c r="X18" i="3" s="1"/>
  <c r="V18" i="3"/>
  <c r="H18" i="3"/>
  <c r="D18" i="3"/>
  <c r="W17" i="3"/>
  <c r="X17" i="3" s="1"/>
  <c r="V17" i="3"/>
  <c r="H17" i="3"/>
  <c r="D17" i="3"/>
  <c r="W16" i="3"/>
  <c r="X16" i="3" s="1"/>
  <c r="V16" i="3"/>
  <c r="H16" i="3"/>
  <c r="D16" i="3"/>
  <c r="W15" i="3"/>
  <c r="X15" i="3" s="1"/>
  <c r="V15" i="3"/>
  <c r="H15" i="3"/>
  <c r="D15" i="3"/>
  <c r="W14" i="3"/>
  <c r="X14" i="3" s="1"/>
  <c r="V14" i="3"/>
  <c r="H14" i="3"/>
  <c r="D14" i="3"/>
  <c r="W13" i="3"/>
  <c r="X13" i="3" s="1"/>
  <c r="V13" i="3"/>
  <c r="H13" i="3"/>
  <c r="D13" i="3"/>
  <c r="W12" i="3"/>
  <c r="X12" i="3" s="1"/>
  <c r="V12" i="3"/>
  <c r="H12" i="3"/>
  <c r="D12" i="3"/>
  <c r="W11" i="3"/>
  <c r="X11" i="3" s="1"/>
  <c r="V11" i="3"/>
  <c r="H11" i="3"/>
  <c r="D11" i="3"/>
  <c r="W10" i="3"/>
  <c r="X10" i="3" s="1"/>
  <c r="V10" i="3"/>
  <c r="H10" i="3"/>
  <c r="D10" i="3"/>
  <c r="W9" i="3"/>
  <c r="X9" i="3" s="1"/>
  <c r="V9" i="3"/>
  <c r="H9" i="3"/>
  <c r="D9" i="3"/>
  <c r="W8" i="3"/>
  <c r="X8" i="3" s="1"/>
  <c r="V8" i="3"/>
  <c r="H8" i="3"/>
  <c r="D8" i="3"/>
  <c r="W7" i="3"/>
  <c r="X7" i="3" s="1"/>
  <c r="V7" i="3"/>
  <c r="H7" i="3"/>
  <c r="D7" i="3"/>
  <c r="W6" i="3"/>
  <c r="X6" i="3" s="1"/>
  <c r="V6" i="3"/>
  <c r="H6" i="3"/>
  <c r="D6" i="3"/>
  <c r="W5" i="3"/>
  <c r="X5" i="3" s="1"/>
  <c r="V5" i="3"/>
  <c r="H5" i="3"/>
  <c r="D5" i="3"/>
  <c r="W4" i="3"/>
  <c r="X4" i="3" s="1"/>
  <c r="V4" i="3"/>
  <c r="H4" i="3"/>
  <c r="D4" i="3"/>
  <c r="W3" i="3"/>
  <c r="J58" i="3" s="1" a="1"/>
  <c r="J58" i="3" s="1"/>
  <c r="V3" i="3"/>
  <c r="H3" i="3"/>
  <c r="D3" i="3"/>
  <c r="J57" i="3" l="1" a="1"/>
  <c r="J57" i="3" s="1"/>
  <c r="J56" i="3" a="1"/>
  <c r="J56" i="3" s="1"/>
  <c r="F56" i="3" s="1"/>
  <c r="J55" i="3" a="1"/>
  <c r="J55" i="3" s="1"/>
  <c r="F55" i="3" s="1"/>
  <c r="J54" i="3" a="1"/>
  <c r="J54" i="3" s="1"/>
  <c r="I54" i="3" s="1"/>
  <c r="J53" i="3" a="1"/>
  <c r="J53" i="3" s="1"/>
  <c r="J52" i="3" a="1"/>
  <c r="J52" i="3" s="1"/>
  <c r="K52" i="3" s="1"/>
  <c r="J51" i="3" a="1"/>
  <c r="J51" i="3" s="1"/>
  <c r="K51" i="3" s="1"/>
  <c r="I56" i="3"/>
  <c r="K55" i="3"/>
  <c r="F58" i="3"/>
  <c r="K58" i="3"/>
  <c r="I58" i="3"/>
  <c r="K57" i="3"/>
  <c r="F57" i="3"/>
  <c r="I57" i="3"/>
  <c r="F54" i="3"/>
  <c r="K54" i="3"/>
  <c r="F52" i="3"/>
  <c r="F53" i="3"/>
  <c r="I53" i="3"/>
  <c r="K53" i="3"/>
  <c r="I51" i="3"/>
  <c r="J14" i="3" a="1"/>
  <c r="J14" i="3" s="1"/>
  <c r="J4" i="3" a="1"/>
  <c r="J4" i="3" s="1"/>
  <c r="J16" i="3" a="1"/>
  <c r="J16" i="3" s="1"/>
  <c r="J12" i="3" a="1"/>
  <c r="J12" i="3" s="1"/>
  <c r="J18" i="3" a="1"/>
  <c r="J18" i="3" s="1"/>
  <c r="J42" i="3" a="1"/>
  <c r="J42" i="3" s="1"/>
  <c r="J6" i="3" a="1"/>
  <c r="J6" i="3" s="1"/>
  <c r="J8" i="3" a="1"/>
  <c r="J8" i="3" s="1"/>
  <c r="J10" i="3" a="1"/>
  <c r="J10" i="3" s="1"/>
  <c r="J37" i="3" a="1"/>
  <c r="J37" i="3" s="1"/>
  <c r="J49" i="3" a="1"/>
  <c r="J49" i="3" s="1"/>
  <c r="J50" i="3" a="1"/>
  <c r="J50" i="3" s="1"/>
  <c r="J13" i="3" a="1"/>
  <c r="J13" i="3" s="1"/>
  <c r="J21" i="3" a="1"/>
  <c r="J21" i="3" s="1"/>
  <c r="J29" i="3" a="1"/>
  <c r="J29" i="3" s="1"/>
  <c r="J43" i="3" a="1"/>
  <c r="J43" i="3" s="1"/>
  <c r="J48" i="3" a="1"/>
  <c r="J48" i="3" s="1"/>
  <c r="J17" i="3" a="1"/>
  <c r="J17" i="3" s="1"/>
  <c r="J25" i="3" a="1"/>
  <c r="J25" i="3" s="1"/>
  <c r="J33" i="3" a="1"/>
  <c r="J33" i="3" s="1"/>
  <c r="X3" i="3"/>
  <c r="J38" i="3" a="1"/>
  <c r="J38" i="3" s="1"/>
  <c r="J26" i="3" a="1"/>
  <c r="J26" i="3" s="1"/>
  <c r="J30" i="3" a="1"/>
  <c r="J30" i="3" s="1"/>
  <c r="J34" i="3" a="1"/>
  <c r="J34" i="3" s="1"/>
  <c r="J39" i="3" a="1"/>
  <c r="J39" i="3" s="1"/>
  <c r="J44" i="3" a="1"/>
  <c r="J44" i="3" s="1"/>
  <c r="J5" i="3" a="1"/>
  <c r="J5" i="3" s="1"/>
  <c r="J7" i="3" a="1"/>
  <c r="J7" i="3" s="1"/>
  <c r="J9" i="3" a="1"/>
  <c r="J9" i="3" s="1"/>
  <c r="J11" i="3" a="1"/>
  <c r="J11" i="3" s="1"/>
  <c r="J45" i="3" a="1"/>
  <c r="J45" i="3" s="1"/>
  <c r="J22" i="3" a="1"/>
  <c r="J22" i="3" s="1"/>
  <c r="J15" i="3" a="1"/>
  <c r="J15" i="3" s="1"/>
  <c r="J23" i="3" a="1"/>
  <c r="J23" i="3" s="1"/>
  <c r="J31" i="3" a="1"/>
  <c r="J31" i="3" s="1"/>
  <c r="J35" i="3" a="1"/>
  <c r="J35" i="3" s="1"/>
  <c r="J40" i="3" a="1"/>
  <c r="J40" i="3" s="1"/>
  <c r="J3" i="3" a="1"/>
  <c r="J3" i="3" s="1"/>
  <c r="J19" i="3" a="1"/>
  <c r="J19" i="3" s="1"/>
  <c r="J27" i="3" a="1"/>
  <c r="J27" i="3" s="1"/>
  <c r="J41" i="3" a="1"/>
  <c r="J41" i="3" s="1"/>
  <c r="J46" i="3" a="1"/>
  <c r="J46" i="3" s="1"/>
  <c r="J20" i="3" a="1"/>
  <c r="J20" i="3" s="1"/>
  <c r="J24" i="3" a="1"/>
  <c r="J24" i="3" s="1"/>
  <c r="J28" i="3" a="1"/>
  <c r="J28" i="3" s="1"/>
  <c r="J32" i="3" a="1"/>
  <c r="J32" i="3" s="1"/>
  <c r="J36" i="3" a="1"/>
  <c r="J36" i="3" s="1"/>
  <c r="J47" i="3" a="1"/>
  <c r="J47" i="3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3" i="1"/>
  <c r="D46" i="1"/>
  <c r="D45" i="1"/>
  <c r="D44" i="1"/>
  <c r="D43" i="1"/>
  <c r="D42" i="1"/>
  <c r="D41" i="1"/>
  <c r="D40" i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" i="1"/>
  <c r="W3" i="1" s="1"/>
  <c r="D3" i="1"/>
  <c r="D4" i="1"/>
  <c r="D5" i="1"/>
  <c r="D6" i="1"/>
  <c r="D7" i="1"/>
  <c r="D8" i="1"/>
  <c r="D10" i="1"/>
  <c r="D11" i="1"/>
  <c r="D12" i="1"/>
  <c r="D16" i="1"/>
  <c r="D13" i="1"/>
  <c r="D14" i="1"/>
  <c r="D15" i="1"/>
  <c r="D20" i="1"/>
  <c r="D17" i="1"/>
  <c r="D18" i="1"/>
  <c r="D19" i="1"/>
  <c r="D21" i="1"/>
  <c r="D22" i="1"/>
  <c r="D23" i="1"/>
  <c r="D24" i="1"/>
  <c r="D25" i="1"/>
  <c r="D26" i="1"/>
  <c r="D27" i="1"/>
  <c r="D31" i="1"/>
  <c r="D28" i="1"/>
  <c r="D29" i="1"/>
  <c r="D30" i="1"/>
  <c r="D35" i="1"/>
  <c r="D32" i="1"/>
  <c r="D33" i="1"/>
  <c r="D34" i="1"/>
  <c r="D39" i="1"/>
  <c r="D36" i="1"/>
  <c r="D37" i="1"/>
  <c r="D38" i="1"/>
  <c r="D50" i="1"/>
  <c r="D47" i="1"/>
  <c r="D48" i="1"/>
  <c r="D49" i="1"/>
  <c r="D9" i="1"/>
  <c r="F47" i="3" l="1"/>
  <c r="I47" i="3"/>
  <c r="F27" i="3"/>
  <c r="I27" i="3"/>
  <c r="I22" i="3"/>
  <c r="F22" i="3"/>
  <c r="I34" i="3"/>
  <c r="F34" i="3"/>
  <c r="F48" i="3"/>
  <c r="I48" i="3"/>
  <c r="I10" i="3"/>
  <c r="F10" i="3"/>
  <c r="I14" i="3"/>
  <c r="F14" i="3"/>
  <c r="I52" i="3"/>
  <c r="K56" i="3"/>
  <c r="M56" i="3" s="1"/>
  <c r="F36" i="3"/>
  <c r="I36" i="3"/>
  <c r="F19" i="3"/>
  <c r="I19" i="3"/>
  <c r="I45" i="3"/>
  <c r="F45" i="3"/>
  <c r="I30" i="3"/>
  <c r="F30" i="3"/>
  <c r="F43" i="3"/>
  <c r="I43" i="3"/>
  <c r="F8" i="3"/>
  <c r="I8" i="3"/>
  <c r="F3" i="3"/>
  <c r="I3" i="3"/>
  <c r="F11" i="3"/>
  <c r="I11" i="3"/>
  <c r="I26" i="3"/>
  <c r="F26" i="3"/>
  <c r="I29" i="3"/>
  <c r="F29" i="3"/>
  <c r="I6" i="3"/>
  <c r="F6" i="3"/>
  <c r="F51" i="3"/>
  <c r="F28" i="3"/>
  <c r="I28" i="3"/>
  <c r="F40" i="3"/>
  <c r="I40" i="3"/>
  <c r="I9" i="3"/>
  <c r="F9" i="3"/>
  <c r="I38" i="3"/>
  <c r="F38" i="3"/>
  <c r="I21" i="3"/>
  <c r="F21" i="3"/>
  <c r="I42" i="3"/>
  <c r="F42" i="3"/>
  <c r="I55" i="3"/>
  <c r="F32" i="3"/>
  <c r="I32" i="3"/>
  <c r="F24" i="3"/>
  <c r="I24" i="3"/>
  <c r="F35" i="3"/>
  <c r="I35" i="3"/>
  <c r="I7" i="3"/>
  <c r="F7" i="3"/>
  <c r="F13" i="3"/>
  <c r="I13" i="3"/>
  <c r="K18" i="3"/>
  <c r="M18" i="3" s="1"/>
  <c r="I18" i="3"/>
  <c r="F18" i="3"/>
  <c r="F20" i="3"/>
  <c r="I20" i="3"/>
  <c r="I31" i="3"/>
  <c r="F31" i="3"/>
  <c r="I5" i="3"/>
  <c r="F5" i="3"/>
  <c r="I33" i="3"/>
  <c r="F33" i="3"/>
  <c r="I50" i="3"/>
  <c r="F50" i="3"/>
  <c r="F12" i="3"/>
  <c r="I12" i="3"/>
  <c r="I46" i="3"/>
  <c r="F46" i="3"/>
  <c r="I23" i="3"/>
  <c r="F23" i="3"/>
  <c r="F44" i="3"/>
  <c r="I44" i="3"/>
  <c r="I25" i="3"/>
  <c r="F25" i="3"/>
  <c r="I49" i="3"/>
  <c r="F49" i="3"/>
  <c r="F16" i="3"/>
  <c r="I16" i="3"/>
  <c r="I41" i="3"/>
  <c r="F41" i="3"/>
  <c r="I15" i="3"/>
  <c r="F15" i="3"/>
  <c r="I39" i="3"/>
  <c r="F39" i="3"/>
  <c r="I17" i="3"/>
  <c r="F17" i="3"/>
  <c r="I37" i="3"/>
  <c r="F37" i="3"/>
  <c r="F4" i="3"/>
  <c r="I4" i="3"/>
  <c r="G58" i="3"/>
  <c r="M58" i="3"/>
  <c r="G54" i="3"/>
  <c r="M54" i="3"/>
  <c r="G51" i="3"/>
  <c r="M51" i="3"/>
  <c r="G53" i="3"/>
  <c r="M53" i="3"/>
  <c r="G55" i="3"/>
  <c r="M55" i="3"/>
  <c r="G52" i="3"/>
  <c r="M52" i="3"/>
  <c r="G57" i="3"/>
  <c r="M57" i="3"/>
  <c r="K16" i="3"/>
  <c r="M16" i="3" s="1"/>
  <c r="K14" i="3"/>
  <c r="G14" i="3" s="1"/>
  <c r="K4" i="3"/>
  <c r="M4" i="3" s="1"/>
  <c r="K12" i="3"/>
  <c r="G12" i="3" s="1"/>
  <c r="K42" i="3"/>
  <c r="M42" i="3" s="1"/>
  <c r="K20" i="3"/>
  <c r="K31" i="3"/>
  <c r="K9" i="3"/>
  <c r="K38" i="3"/>
  <c r="K43" i="3"/>
  <c r="K45" i="3"/>
  <c r="K46" i="3"/>
  <c r="K23" i="3"/>
  <c r="K7" i="3"/>
  <c r="K29" i="3"/>
  <c r="K32" i="3"/>
  <c r="K41" i="3"/>
  <c r="K15" i="3"/>
  <c r="K5" i="3"/>
  <c r="K21" i="3"/>
  <c r="M12" i="3"/>
  <c r="K47" i="3"/>
  <c r="K27" i="3"/>
  <c r="K22" i="3"/>
  <c r="K44" i="3"/>
  <c r="K13" i="3"/>
  <c r="K10" i="3"/>
  <c r="K19" i="3"/>
  <c r="K39" i="3"/>
  <c r="K33" i="3"/>
  <c r="K50" i="3"/>
  <c r="K8" i="3"/>
  <c r="K3" i="3"/>
  <c r="K34" i="3"/>
  <c r="K25" i="3"/>
  <c r="K49" i="3"/>
  <c r="K6" i="3"/>
  <c r="K28" i="3"/>
  <c r="K40" i="3"/>
  <c r="K30" i="3"/>
  <c r="K17" i="3"/>
  <c r="K37" i="3"/>
  <c r="K36" i="3"/>
  <c r="K24" i="3"/>
  <c r="K35" i="3"/>
  <c r="K11" i="3"/>
  <c r="K26" i="3"/>
  <c r="K48" i="3"/>
  <c r="J3" i="1" a="1"/>
  <c r="J3" i="1" s="1"/>
  <c r="F3" i="1" s="1"/>
  <c r="J7" i="1" a="1"/>
  <c r="J7" i="1" s="1"/>
  <c r="F7" i="1" s="1"/>
  <c r="J50" i="1" a="1"/>
  <c r="J50" i="1" s="1"/>
  <c r="F50" i="1" s="1"/>
  <c r="J38" i="1" a="1"/>
  <c r="J38" i="1" s="1"/>
  <c r="F38" i="1" s="1"/>
  <c r="J30" i="1" a="1"/>
  <c r="J30" i="1" s="1"/>
  <c r="F30" i="1" s="1"/>
  <c r="J22" i="1" a="1"/>
  <c r="J22" i="1" s="1"/>
  <c r="F22" i="1" s="1"/>
  <c r="J14" i="1" a="1"/>
  <c r="J14" i="1" s="1"/>
  <c r="F14" i="1" s="1"/>
  <c r="J6" i="1" a="1"/>
  <c r="J6" i="1" s="1"/>
  <c r="F6" i="1" s="1"/>
  <c r="J46" i="1" a="1"/>
  <c r="J46" i="1" s="1"/>
  <c r="F46" i="1" s="1"/>
  <c r="J45" i="1" a="1"/>
  <c r="J45" i="1" s="1"/>
  <c r="F45" i="1" s="1"/>
  <c r="J37" i="1" a="1"/>
  <c r="J37" i="1" s="1"/>
  <c r="F37" i="1" s="1"/>
  <c r="J29" i="1" a="1"/>
  <c r="J29" i="1" s="1"/>
  <c r="F29" i="1" s="1"/>
  <c r="J21" i="1" a="1"/>
  <c r="J21" i="1" s="1"/>
  <c r="F21" i="1" s="1"/>
  <c r="J13" i="1" a="1"/>
  <c r="J13" i="1" s="1"/>
  <c r="F13" i="1" s="1"/>
  <c r="J5" i="1" a="1"/>
  <c r="J5" i="1" s="1"/>
  <c r="F5" i="1" s="1"/>
  <c r="J44" i="1" a="1"/>
  <c r="J44" i="1" s="1"/>
  <c r="F44" i="1" s="1"/>
  <c r="J36" i="1" a="1"/>
  <c r="J36" i="1" s="1"/>
  <c r="F36" i="1" s="1"/>
  <c r="J28" i="1" a="1"/>
  <c r="J28" i="1" s="1"/>
  <c r="F28" i="1" s="1"/>
  <c r="J20" i="1" a="1"/>
  <c r="J20" i="1" s="1"/>
  <c r="F20" i="1" s="1"/>
  <c r="J12" i="1" a="1"/>
  <c r="J12" i="1" s="1"/>
  <c r="F12" i="1" s="1"/>
  <c r="J4" i="1" a="1"/>
  <c r="J4" i="1" s="1"/>
  <c r="F4" i="1" s="1"/>
  <c r="J43" i="1" a="1"/>
  <c r="J43" i="1" s="1"/>
  <c r="F43" i="1" s="1"/>
  <c r="J35" i="1" a="1"/>
  <c r="J35" i="1" s="1"/>
  <c r="F35" i="1" s="1"/>
  <c r="J27" i="1" a="1"/>
  <c r="J27" i="1" s="1"/>
  <c r="F27" i="1" s="1"/>
  <c r="J19" i="1" a="1"/>
  <c r="J19" i="1" s="1"/>
  <c r="F19" i="1" s="1"/>
  <c r="J11" i="1" a="1"/>
  <c r="J11" i="1" s="1"/>
  <c r="F11" i="1" s="1"/>
  <c r="J42" i="1" a="1"/>
  <c r="J42" i="1" s="1"/>
  <c r="F42" i="1" s="1"/>
  <c r="J34" i="1" a="1"/>
  <c r="J34" i="1" s="1"/>
  <c r="F34" i="1" s="1"/>
  <c r="J26" i="1" a="1"/>
  <c r="J26" i="1" s="1"/>
  <c r="F26" i="1" s="1"/>
  <c r="J18" i="1" a="1"/>
  <c r="J18" i="1" s="1"/>
  <c r="F18" i="1" s="1"/>
  <c r="J10" i="1" a="1"/>
  <c r="J10" i="1" s="1"/>
  <c r="F10" i="1" s="1"/>
  <c r="J49" i="1" a="1"/>
  <c r="J49" i="1" s="1"/>
  <c r="F49" i="1" s="1"/>
  <c r="J41" i="1" a="1"/>
  <c r="J41" i="1" s="1"/>
  <c r="F41" i="1" s="1"/>
  <c r="J33" i="1" a="1"/>
  <c r="J33" i="1" s="1"/>
  <c r="F33" i="1" s="1"/>
  <c r="J25" i="1" a="1"/>
  <c r="J25" i="1" s="1"/>
  <c r="F25" i="1" s="1"/>
  <c r="J17" i="1" a="1"/>
  <c r="J17" i="1" s="1"/>
  <c r="F17" i="1" s="1"/>
  <c r="J9" i="1" a="1"/>
  <c r="J9" i="1" s="1"/>
  <c r="F9" i="1" s="1"/>
  <c r="J48" i="1" a="1"/>
  <c r="J48" i="1" s="1"/>
  <c r="F48" i="1" s="1"/>
  <c r="J40" i="1" a="1"/>
  <c r="J40" i="1" s="1"/>
  <c r="F40" i="1" s="1"/>
  <c r="J32" i="1" a="1"/>
  <c r="J32" i="1" s="1"/>
  <c r="F32" i="1" s="1"/>
  <c r="J24" i="1" a="1"/>
  <c r="J24" i="1" s="1"/>
  <c r="F24" i="1" s="1"/>
  <c r="J16" i="1" a="1"/>
  <c r="J16" i="1" s="1"/>
  <c r="F16" i="1" s="1"/>
  <c r="J8" i="1" a="1"/>
  <c r="J8" i="1" s="1"/>
  <c r="F8" i="1" s="1"/>
  <c r="J47" i="1" a="1"/>
  <c r="J47" i="1" s="1"/>
  <c r="F47" i="1" s="1"/>
  <c r="J39" i="1" a="1"/>
  <c r="J39" i="1" s="1"/>
  <c r="F39" i="1" s="1"/>
  <c r="J31" i="1" a="1"/>
  <c r="J31" i="1" s="1"/>
  <c r="F31" i="1" s="1"/>
  <c r="J23" i="1" a="1"/>
  <c r="J23" i="1" s="1"/>
  <c r="F23" i="1" s="1"/>
  <c r="J15" i="1" a="1"/>
  <c r="J15" i="1" s="1"/>
  <c r="F15" i="1" s="1"/>
  <c r="G56" i="3" l="1"/>
  <c r="G18" i="3"/>
  <c r="G4" i="3"/>
  <c r="G16" i="3"/>
  <c r="M14" i="3"/>
  <c r="G42" i="3"/>
  <c r="G10" i="3"/>
  <c r="M10" i="3"/>
  <c r="M11" i="3"/>
  <c r="G11" i="3"/>
  <c r="G35" i="3"/>
  <c r="M35" i="3"/>
  <c r="G24" i="3"/>
  <c r="M24" i="3"/>
  <c r="G34" i="3"/>
  <c r="M34" i="3"/>
  <c r="G50" i="3"/>
  <c r="M50" i="3"/>
  <c r="G21" i="3"/>
  <c r="M21" i="3"/>
  <c r="G26" i="3"/>
  <c r="M26" i="3"/>
  <c r="G40" i="3"/>
  <c r="M40" i="3"/>
  <c r="G49" i="3"/>
  <c r="M49" i="3"/>
  <c r="G27" i="3"/>
  <c r="M27" i="3"/>
  <c r="G46" i="3"/>
  <c r="M46" i="3"/>
  <c r="M9" i="3"/>
  <c r="G9" i="3"/>
  <c r="G32" i="3"/>
  <c r="M32" i="3"/>
  <c r="G17" i="3"/>
  <c r="M17" i="3"/>
  <c r="G28" i="3"/>
  <c r="M28" i="3"/>
  <c r="G19" i="3"/>
  <c r="M19" i="3"/>
  <c r="G47" i="3"/>
  <c r="M47" i="3"/>
  <c r="G41" i="3"/>
  <c r="M41" i="3"/>
  <c r="G43" i="3"/>
  <c r="M43" i="3"/>
  <c r="G44" i="3"/>
  <c r="M44" i="3"/>
  <c r="M5" i="3"/>
  <c r="G5" i="3"/>
  <c r="G45" i="3"/>
  <c r="M45" i="3"/>
  <c r="G31" i="3"/>
  <c r="M31" i="3"/>
  <c r="G25" i="3"/>
  <c r="M25" i="3"/>
  <c r="G36" i="3"/>
  <c r="M36" i="3"/>
  <c r="G6" i="3"/>
  <c r="M6" i="3"/>
  <c r="G20" i="3"/>
  <c r="M20" i="3"/>
  <c r="G33" i="3"/>
  <c r="M33" i="3"/>
  <c r="G8" i="3"/>
  <c r="M8" i="3"/>
  <c r="G48" i="3"/>
  <c r="M48" i="3"/>
  <c r="G37" i="3"/>
  <c r="M37" i="3"/>
  <c r="G30" i="3"/>
  <c r="M30" i="3"/>
  <c r="G22" i="3"/>
  <c r="M22" i="3"/>
  <c r="G23" i="3"/>
  <c r="M23" i="3"/>
  <c r="G38" i="3"/>
  <c r="M38" i="3"/>
  <c r="M3" i="3"/>
  <c r="G3" i="3"/>
  <c r="M7" i="3"/>
  <c r="G7" i="3"/>
  <c r="G39" i="3"/>
  <c r="M39" i="3"/>
  <c r="G13" i="3"/>
  <c r="M13" i="3"/>
  <c r="G15" i="3"/>
  <c r="M15" i="3"/>
  <c r="G29" i="3"/>
  <c r="M29" i="3"/>
  <c r="K32" i="1"/>
  <c r="I32" i="1"/>
  <c r="K49" i="1"/>
  <c r="I49" i="1"/>
  <c r="K27" i="1"/>
  <c r="I27" i="1"/>
  <c r="K44" i="1"/>
  <c r="I44" i="1"/>
  <c r="K6" i="1"/>
  <c r="I6" i="1"/>
  <c r="K23" i="1"/>
  <c r="I23" i="1"/>
  <c r="K40" i="1"/>
  <c r="I40" i="1"/>
  <c r="K10" i="1"/>
  <c r="I10" i="1"/>
  <c r="K35" i="1"/>
  <c r="I35" i="1"/>
  <c r="K5" i="1"/>
  <c r="I5" i="1"/>
  <c r="K14" i="1"/>
  <c r="I14" i="1"/>
  <c r="K31" i="1"/>
  <c r="I31" i="1"/>
  <c r="K48" i="1"/>
  <c r="I48" i="1"/>
  <c r="K18" i="1"/>
  <c r="I18" i="1"/>
  <c r="K43" i="1"/>
  <c r="I43" i="1"/>
  <c r="K13" i="1"/>
  <c r="I13" i="1"/>
  <c r="K22" i="1"/>
  <c r="I22" i="1"/>
  <c r="K15" i="1"/>
  <c r="I15" i="1"/>
  <c r="K39" i="1"/>
  <c r="I39" i="1"/>
  <c r="K9" i="1"/>
  <c r="I9" i="1"/>
  <c r="K26" i="1"/>
  <c r="I26" i="1"/>
  <c r="K4" i="1"/>
  <c r="I4" i="1"/>
  <c r="K21" i="1"/>
  <c r="I21" i="1"/>
  <c r="K30" i="1"/>
  <c r="I30" i="1"/>
  <c r="K47" i="1"/>
  <c r="I47" i="1"/>
  <c r="K17" i="1"/>
  <c r="I17" i="1"/>
  <c r="K34" i="1"/>
  <c r="I34" i="1"/>
  <c r="K12" i="1"/>
  <c r="I12" i="1"/>
  <c r="K29" i="1"/>
  <c r="I29" i="1"/>
  <c r="K38" i="1"/>
  <c r="I38" i="1"/>
  <c r="K8" i="1"/>
  <c r="I8" i="1"/>
  <c r="K25" i="1"/>
  <c r="I25" i="1"/>
  <c r="K42" i="1"/>
  <c r="I42" i="1"/>
  <c r="K20" i="1"/>
  <c r="I20" i="1"/>
  <c r="K37" i="1"/>
  <c r="I37" i="1"/>
  <c r="K50" i="1"/>
  <c r="I50" i="1"/>
  <c r="K16" i="1"/>
  <c r="I16" i="1"/>
  <c r="K33" i="1"/>
  <c r="I33" i="1"/>
  <c r="K11" i="1"/>
  <c r="I11" i="1"/>
  <c r="K28" i="1"/>
  <c r="I28" i="1"/>
  <c r="K45" i="1"/>
  <c r="I45" i="1"/>
  <c r="K7" i="1"/>
  <c r="I7" i="1"/>
  <c r="K24" i="1"/>
  <c r="I24" i="1"/>
  <c r="K41" i="1"/>
  <c r="I41" i="1"/>
  <c r="K19" i="1"/>
  <c r="I19" i="1"/>
  <c r="K36" i="1"/>
  <c r="I36" i="1"/>
  <c r="K46" i="1"/>
  <c r="I46" i="1"/>
  <c r="K3" i="1"/>
  <c r="I3" i="1"/>
  <c r="M31" i="1" l="1"/>
  <c r="G31" i="1"/>
  <c r="M19" i="1"/>
  <c r="G19" i="1"/>
  <c r="M42" i="1"/>
  <c r="G42" i="1"/>
  <c r="M47" i="1"/>
  <c r="G47" i="1"/>
  <c r="M9" i="1"/>
  <c r="G9" i="1"/>
  <c r="M12" i="1"/>
  <c r="G12" i="1"/>
  <c r="M37" i="1"/>
  <c r="G37" i="1"/>
  <c r="M21" i="1"/>
  <c r="G21" i="1"/>
  <c r="M28" i="1"/>
  <c r="G28" i="1"/>
  <c r="M25" i="1"/>
  <c r="G25" i="1"/>
  <c r="M44" i="1"/>
  <c r="G44" i="1"/>
  <c r="M46" i="1"/>
  <c r="G46" i="1"/>
  <c r="M24" i="1"/>
  <c r="G24" i="1"/>
  <c r="M8" i="1"/>
  <c r="G8" i="1"/>
  <c r="M34" i="1"/>
  <c r="G34" i="1"/>
  <c r="M39" i="1"/>
  <c r="G39" i="1"/>
  <c r="M43" i="1"/>
  <c r="G43" i="1"/>
  <c r="M14" i="1"/>
  <c r="G14" i="1"/>
  <c r="M40" i="1"/>
  <c r="G40" i="1"/>
  <c r="M27" i="1"/>
  <c r="G27" i="1"/>
  <c r="M30" i="1"/>
  <c r="G30" i="1"/>
  <c r="M36" i="1"/>
  <c r="G36" i="1"/>
  <c r="M7" i="1"/>
  <c r="G7" i="1"/>
  <c r="M20" i="1"/>
  <c r="G20" i="1"/>
  <c r="M17" i="1"/>
  <c r="G17" i="1"/>
  <c r="M4" i="1"/>
  <c r="G4" i="1"/>
  <c r="M18" i="1"/>
  <c r="G18" i="1"/>
  <c r="M23" i="1"/>
  <c r="G23" i="1"/>
  <c r="M49" i="1"/>
  <c r="G49" i="1"/>
  <c r="M3" i="1"/>
  <c r="G3" i="1"/>
  <c r="M13" i="1"/>
  <c r="G13" i="1"/>
  <c r="M11" i="1"/>
  <c r="G11" i="1"/>
  <c r="M33" i="1"/>
  <c r="G33" i="1"/>
  <c r="M38" i="1"/>
  <c r="G38" i="1"/>
  <c r="M15" i="1"/>
  <c r="G15" i="1"/>
  <c r="M5" i="1"/>
  <c r="G5" i="1"/>
  <c r="M41" i="1"/>
  <c r="G41" i="1"/>
  <c r="M50" i="1"/>
  <c r="G50" i="1"/>
  <c r="M10" i="1"/>
  <c r="G10" i="1"/>
  <c r="M45" i="1"/>
  <c r="G45" i="1"/>
  <c r="M16" i="1"/>
  <c r="G16" i="1"/>
  <c r="M29" i="1"/>
  <c r="G29" i="1"/>
  <c r="M26" i="1"/>
  <c r="G26" i="1"/>
  <c r="M22" i="1"/>
  <c r="G22" i="1"/>
  <c r="M48" i="1"/>
  <c r="G48" i="1"/>
  <c r="M35" i="1"/>
  <c r="G35" i="1"/>
  <c r="M6" i="1"/>
  <c r="G6" i="1"/>
  <c r="M32" i="1"/>
  <c r="G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<sst xmlns="http://schemas.openxmlformats.org/spreadsheetml/2006/main" count="2889" uniqueCount="653">
  <si>
    <t>ED-3.26</t>
  </si>
  <si>
    <t>EDH6</t>
  </si>
  <si>
    <t>UCNY-3.26</t>
  </si>
  <si>
    <t>UCH6</t>
  </si>
  <si>
    <t>GOLD-3.26</t>
  </si>
  <si>
    <t>GDH6</t>
  </si>
  <si>
    <t>SILV-3.26</t>
  </si>
  <si>
    <t>SVH6</t>
  </si>
  <si>
    <t>PLT-3.26</t>
  </si>
  <si>
    <t>PTH6</t>
  </si>
  <si>
    <t>PLD-3.26</t>
  </si>
  <si>
    <t>PDH6</t>
  </si>
  <si>
    <t>NG-3.26</t>
  </si>
  <si>
    <t>NGH6</t>
  </si>
  <si>
    <t>BTC-3.26</t>
  </si>
  <si>
    <t>BTH6</t>
  </si>
  <si>
    <t>BR-4.26</t>
  </si>
  <si>
    <t>BRJ6</t>
  </si>
  <si>
    <t>BTC-4.26</t>
  </si>
  <si>
    <t>BTJ6</t>
  </si>
  <si>
    <t>NG-4.26</t>
  </si>
  <si>
    <t>NGJ6</t>
  </si>
  <si>
    <t>BR-5.26</t>
  </si>
  <si>
    <t>BRK6</t>
  </si>
  <si>
    <t>NG-5.26</t>
  </si>
  <si>
    <t>NGK6</t>
  </si>
  <si>
    <t>BTC-5.26</t>
  </si>
  <si>
    <t>BTK6</t>
  </si>
  <si>
    <t>BR-6.26</t>
  </si>
  <si>
    <t>BRM6</t>
  </si>
  <si>
    <t>ED-6.26</t>
  </si>
  <si>
    <t>EDM6</t>
  </si>
  <si>
    <t>UCNY-6.26</t>
  </si>
  <si>
    <t>UCM6</t>
  </si>
  <si>
    <t>GOLD-6.26</t>
  </si>
  <si>
    <t>GDM6</t>
  </si>
  <si>
    <t>SILV-6.26</t>
  </si>
  <si>
    <t>SVM6</t>
  </si>
  <si>
    <t>PLT-6.26</t>
  </si>
  <si>
    <t>PTM6</t>
  </si>
  <si>
    <t>PLD-6.26</t>
  </si>
  <si>
    <t>PDM6</t>
  </si>
  <si>
    <t>NG-6.26</t>
  </si>
  <si>
    <t>NGM6</t>
  </si>
  <si>
    <t>BR-7.26</t>
  </si>
  <si>
    <t>BRN6</t>
  </si>
  <si>
    <t>NG-7.26</t>
  </si>
  <si>
    <t>NGN6</t>
  </si>
  <si>
    <t>BR-8.26</t>
  </si>
  <si>
    <t>BRQ6</t>
  </si>
  <si>
    <t>NG-8.26</t>
  </si>
  <si>
    <t>NGQ6</t>
  </si>
  <si>
    <t>BR-9.26</t>
  </si>
  <si>
    <t>BRU6</t>
  </si>
  <si>
    <t>ED-9.26</t>
  </si>
  <si>
    <t>EDU6</t>
  </si>
  <si>
    <t>UCNY-9.26</t>
  </si>
  <si>
    <t>UCU6</t>
  </si>
  <si>
    <t>GOLD-9.26</t>
  </si>
  <si>
    <t>GDU6</t>
  </si>
  <si>
    <t>SILV-9.26</t>
  </si>
  <si>
    <t>SVU6</t>
  </si>
  <si>
    <t>PLT-9.26</t>
  </si>
  <si>
    <t>PTU6</t>
  </si>
  <si>
    <t>PLD-9.26</t>
  </si>
  <si>
    <t>PDU6</t>
  </si>
  <si>
    <t>NG-9.26</t>
  </si>
  <si>
    <t>NGU6</t>
  </si>
  <si>
    <t>BR-10.26</t>
  </si>
  <si>
    <t>BRV6</t>
  </si>
  <si>
    <t>ED-12.26</t>
  </si>
  <si>
    <t>EDZ6</t>
  </si>
  <si>
    <t>UCNY-12.26</t>
  </si>
  <si>
    <t>UCZ6</t>
  </si>
  <si>
    <t>GOLD-12.26</t>
  </si>
  <si>
    <t>GDZ6</t>
  </si>
  <si>
    <t>SILV-12.26</t>
  </si>
  <si>
    <t>SVZ6</t>
  </si>
  <si>
    <t>PLT-12.26</t>
  </si>
  <si>
    <t>PTZ6</t>
  </si>
  <si>
    <t>PLD-12.26</t>
  </si>
  <si>
    <t>PDZ6</t>
  </si>
  <si>
    <t>Product Code</t>
  </si>
  <si>
    <t>First Trade</t>
  </si>
  <si>
    <t>Last Trade</t>
  </si>
  <si>
    <t>Settlement</t>
  </si>
  <si>
    <t>First Notice</t>
  </si>
  <si>
    <t>NGJ26</t>
  </si>
  <si>
    <t>NGK26</t>
  </si>
  <si>
    <t>NGM26</t>
  </si>
  <si>
    <t>NGN26</t>
  </si>
  <si>
    <t>NGQ26</t>
  </si>
  <si>
    <t>NGU26</t>
  </si>
  <si>
    <t>NGV26</t>
  </si>
  <si>
    <t>NGX26</t>
  </si>
  <si>
    <t>NGZ26</t>
  </si>
  <si>
    <t>NGF27</t>
  </si>
  <si>
    <t>NGG27</t>
  </si>
  <si>
    <t>NGH27</t>
  </si>
  <si>
    <t>NGJ27</t>
  </si>
  <si>
    <t>NGK27</t>
  </si>
  <si>
    <t>NGM27</t>
  </si>
  <si>
    <t>NGN27</t>
  </si>
  <si>
    <t>NGQ27</t>
  </si>
  <si>
    <t>NGU27</t>
  </si>
  <si>
    <t>NGV27</t>
  </si>
  <si>
    <t>NGX27</t>
  </si>
  <si>
    <t>NGZ27</t>
  </si>
  <si>
    <t>NGF28</t>
  </si>
  <si>
    <t>NGG28</t>
  </si>
  <si>
    <t>NGH28</t>
  </si>
  <si>
    <t>NGJ28</t>
  </si>
  <si>
    <t>NGK28</t>
  </si>
  <si>
    <t>NGM28</t>
  </si>
  <si>
    <t>NGN28</t>
  </si>
  <si>
    <t>NGQ28</t>
  </si>
  <si>
    <t>NGU28</t>
  </si>
  <si>
    <t>NGV28</t>
  </si>
  <si>
    <t>NGX28</t>
  </si>
  <si>
    <t>NGZ28</t>
  </si>
  <si>
    <t>NGF29</t>
  </si>
  <si>
    <t>NGG29</t>
  </si>
  <si>
    <t>NGH29</t>
  </si>
  <si>
    <t>NGJ29</t>
  </si>
  <si>
    <t>NGK29</t>
  </si>
  <si>
    <t>NGM29</t>
  </si>
  <si>
    <t>NGN29</t>
  </si>
  <si>
    <t>NGQ29</t>
  </si>
  <si>
    <t>NGU29</t>
  </si>
  <si>
    <t>NGV29</t>
  </si>
  <si>
    <t>NGX29</t>
  </si>
  <si>
    <t>NGZ29</t>
  </si>
  <si>
    <t>NGF30</t>
  </si>
  <si>
    <t>NGG30</t>
  </si>
  <si>
    <t>NGH30</t>
  </si>
  <si>
    <t>NGJ30</t>
  </si>
  <si>
    <t>NGK30</t>
  </si>
  <si>
    <t>NGM30</t>
  </si>
  <si>
    <t>NGN30</t>
  </si>
  <si>
    <t>NGQ30</t>
  </si>
  <si>
    <t>NGU30</t>
  </si>
  <si>
    <t>NGV30</t>
  </si>
  <si>
    <t>NGX30</t>
  </si>
  <si>
    <t>NGZ30</t>
  </si>
  <si>
    <t>NGF31</t>
  </si>
  <si>
    <t>NGG31</t>
  </si>
  <si>
    <t>NGH31</t>
  </si>
  <si>
    <t>NGJ31</t>
  </si>
  <si>
    <t>NGK31</t>
  </si>
  <si>
    <t>NGM31</t>
  </si>
  <si>
    <t>NGN31</t>
  </si>
  <si>
    <t>NGQ31</t>
  </si>
  <si>
    <t>NGU31</t>
  </si>
  <si>
    <t>NGV31</t>
  </si>
  <si>
    <t>NGX31</t>
  </si>
  <si>
    <t>NGZ31</t>
  </si>
  <si>
    <t>NGF32</t>
  </si>
  <si>
    <t>NGG32</t>
  </si>
  <si>
    <t>NGH32</t>
  </si>
  <si>
    <t>NGJ32</t>
  </si>
  <si>
    <t>NGK32</t>
  </si>
  <si>
    <t>NGM32</t>
  </si>
  <si>
    <t>NGN32</t>
  </si>
  <si>
    <t>NGQ32</t>
  </si>
  <si>
    <t>NGU32</t>
  </si>
  <si>
    <t>NGV32</t>
  </si>
  <si>
    <t>NGX32</t>
  </si>
  <si>
    <t>NGZ32</t>
  </si>
  <si>
    <t>NGF33</t>
  </si>
  <si>
    <t>NGG33</t>
  </si>
  <si>
    <t>NGH33</t>
  </si>
  <si>
    <t>NGJ33</t>
  </si>
  <si>
    <t>NGK33</t>
  </si>
  <si>
    <t>NGM33</t>
  </si>
  <si>
    <t>NGN33</t>
  </si>
  <si>
    <t>NGQ33</t>
  </si>
  <si>
    <t>NGU33</t>
  </si>
  <si>
    <t>NGV33</t>
  </si>
  <si>
    <t>NGX33</t>
  </si>
  <si>
    <t>NGZ33</t>
  </si>
  <si>
    <t>NGF34</t>
  </si>
  <si>
    <t>NGG34</t>
  </si>
  <si>
    <t>NGH34</t>
  </si>
  <si>
    <t>NGJ34</t>
  </si>
  <si>
    <t>NGK34</t>
  </si>
  <si>
    <t>NGM34</t>
  </si>
  <si>
    <t>NGN34</t>
  </si>
  <si>
    <t>NGQ34</t>
  </si>
  <si>
    <t>NGU34</t>
  </si>
  <si>
    <t>NGV34</t>
  </si>
  <si>
    <t>NGX34</t>
  </si>
  <si>
    <t>NGZ34</t>
  </si>
  <si>
    <t>NGF35</t>
  </si>
  <si>
    <t>NGG35</t>
  </si>
  <si>
    <t>NGH35</t>
  </si>
  <si>
    <t>NGJ35</t>
  </si>
  <si>
    <t>NGK35</t>
  </si>
  <si>
    <t>NGM35</t>
  </si>
  <si>
    <t>NGN35</t>
  </si>
  <si>
    <t>NGQ35</t>
  </si>
  <si>
    <t>NGU35</t>
  </si>
  <si>
    <t>NGV35</t>
  </si>
  <si>
    <t>NGX35</t>
  </si>
  <si>
    <t>NGZ35</t>
  </si>
  <si>
    <t>NGF36</t>
  </si>
  <si>
    <t>NGG36</t>
  </si>
  <si>
    <t>NGH36</t>
  </si>
  <si>
    <t>NGJ36</t>
  </si>
  <si>
    <t>NGK36</t>
  </si>
  <si>
    <t>NGM36</t>
  </si>
  <si>
    <t>NGN36</t>
  </si>
  <si>
    <t>NGQ36</t>
  </si>
  <si>
    <t>NGU36</t>
  </si>
  <si>
    <t>NGV36</t>
  </si>
  <si>
    <t>NGX36</t>
  </si>
  <si>
    <t>NGZ36</t>
  </si>
  <si>
    <t>NGF37</t>
  </si>
  <si>
    <t>NGG37</t>
  </si>
  <si>
    <t>NGH37</t>
  </si>
  <si>
    <t>NGJ37</t>
  </si>
  <si>
    <t>NGK37</t>
  </si>
  <si>
    <t>NGM37</t>
  </si>
  <si>
    <t>NGN37</t>
  </si>
  <si>
    <t>NGQ37</t>
  </si>
  <si>
    <t>NGU37</t>
  </si>
  <si>
    <t>NGV37</t>
  </si>
  <si>
    <t>NGX37</t>
  </si>
  <si>
    <t>NGZ37</t>
  </si>
  <si>
    <t>NGF38</t>
  </si>
  <si>
    <t>NGG38</t>
  </si>
  <si>
    <t>NGH38</t>
  </si>
  <si>
    <t>NGJ38</t>
  </si>
  <si>
    <t>NGK38</t>
  </si>
  <si>
    <t>NGM38</t>
  </si>
  <si>
    <t>NGN38</t>
  </si>
  <si>
    <t>NGQ38</t>
  </si>
  <si>
    <t>NGU38</t>
  </si>
  <si>
    <t>NGV38</t>
  </si>
  <si>
    <t>NGX38</t>
  </si>
  <si>
    <t>NGZ38</t>
  </si>
  <si>
    <t>BZJ26</t>
  </si>
  <si>
    <t>BZK26</t>
  </si>
  <si>
    <t>BZM26</t>
  </si>
  <si>
    <t>BZN26</t>
  </si>
  <si>
    <t>BZQ26</t>
  </si>
  <si>
    <t>BZU26</t>
  </si>
  <si>
    <t>BZV26</t>
  </si>
  <si>
    <t>BZX26</t>
  </si>
  <si>
    <t>BZZ26</t>
  </si>
  <si>
    <t>BZF27</t>
  </si>
  <si>
    <t>BZG27</t>
  </si>
  <si>
    <t>BZH27</t>
  </si>
  <si>
    <t>BZJ27</t>
  </si>
  <si>
    <t>BZK27</t>
  </si>
  <si>
    <t>BZM27</t>
  </si>
  <si>
    <t>BZN27</t>
  </si>
  <si>
    <t>BZQ27</t>
  </si>
  <si>
    <t>BZU27</t>
  </si>
  <si>
    <t>BZV27</t>
  </si>
  <si>
    <t>BZX27</t>
  </si>
  <si>
    <t>BZZ27</t>
  </si>
  <si>
    <t>BZF28</t>
  </si>
  <si>
    <t>BZG28</t>
  </si>
  <si>
    <t>BZH28</t>
  </si>
  <si>
    <t>BZJ28</t>
  </si>
  <si>
    <t>BZK28</t>
  </si>
  <si>
    <t>BZM28</t>
  </si>
  <si>
    <t>BZN28</t>
  </si>
  <si>
    <t>BZQ28</t>
  </si>
  <si>
    <t>BZU28</t>
  </si>
  <si>
    <t>BZV28</t>
  </si>
  <si>
    <t>BZX28</t>
  </si>
  <si>
    <t>BZZ28</t>
  </si>
  <si>
    <t>BZF29</t>
  </si>
  <si>
    <t>BZG29</t>
  </si>
  <si>
    <t>BZH29</t>
  </si>
  <si>
    <t>BZJ29</t>
  </si>
  <si>
    <t>BZK29</t>
  </si>
  <si>
    <t>BZM29</t>
  </si>
  <si>
    <t>BZN29</t>
  </si>
  <si>
    <t>BZQ29</t>
  </si>
  <si>
    <t>BZU29</t>
  </si>
  <si>
    <t>BZV29</t>
  </si>
  <si>
    <t>BZX29</t>
  </si>
  <si>
    <t>BZZ29</t>
  </si>
  <si>
    <t>BZF30</t>
  </si>
  <si>
    <t>BZG30</t>
  </si>
  <si>
    <t>BZH30</t>
  </si>
  <si>
    <t>BZJ30</t>
  </si>
  <si>
    <t>BZK30</t>
  </si>
  <si>
    <t>BZM30</t>
  </si>
  <si>
    <t>BZN30</t>
  </si>
  <si>
    <t>BZQ30</t>
  </si>
  <si>
    <t>BZU30</t>
  </si>
  <si>
    <t>BZV30</t>
  </si>
  <si>
    <t>BZX30</t>
  </si>
  <si>
    <t>BZZ30</t>
  </si>
  <si>
    <t>BZF31</t>
  </si>
  <si>
    <t>BZG31</t>
  </si>
  <si>
    <t>BZH31</t>
  </si>
  <si>
    <t>BZJ31</t>
  </si>
  <si>
    <t>BZK31</t>
  </si>
  <si>
    <t>BZM31</t>
  </si>
  <si>
    <t>BZN31</t>
  </si>
  <si>
    <t>BZQ31</t>
  </si>
  <si>
    <t>BZU31</t>
  </si>
  <si>
    <t>BZV31</t>
  </si>
  <si>
    <t>BZX31</t>
  </si>
  <si>
    <t>BZZ31</t>
  </si>
  <si>
    <t>BZF32</t>
  </si>
  <si>
    <t>BZG32</t>
  </si>
  <si>
    <t>BZH32</t>
  </si>
  <si>
    <t>BZJ32</t>
  </si>
  <si>
    <t>BZK32</t>
  </si>
  <si>
    <t>BZM32</t>
  </si>
  <si>
    <t>BZN32</t>
  </si>
  <si>
    <t>BZQ32</t>
  </si>
  <si>
    <t>BZU32</t>
  </si>
  <si>
    <t>BZV32</t>
  </si>
  <si>
    <t>BZX32</t>
  </si>
  <si>
    <t>BZZ32</t>
  </si>
  <si>
    <t>BZF33</t>
  </si>
  <si>
    <t>BZG33</t>
  </si>
  <si>
    <t>BZH33</t>
  </si>
  <si>
    <t>BZJ33</t>
  </si>
  <si>
    <t>BZK33</t>
  </si>
  <si>
    <t>BZM33</t>
  </si>
  <si>
    <t>BZN33</t>
  </si>
  <si>
    <t>BZQ33</t>
  </si>
  <si>
    <t>BZU33</t>
  </si>
  <si>
    <t>BZV33</t>
  </si>
  <si>
    <t>BZX33</t>
  </si>
  <si>
    <t>BZZ33</t>
  </si>
  <si>
    <t>BZF34</t>
  </si>
  <si>
    <t>BZG34</t>
  </si>
  <si>
    <t>BZH34</t>
  </si>
  <si>
    <t>Underl2</t>
  </si>
  <si>
    <t>FND</t>
  </si>
  <si>
    <t>constructor own</t>
  </si>
  <si>
    <t>consrt robot</t>
  </si>
  <si>
    <t>constr tview</t>
  </si>
  <si>
    <t>GCH26</t>
  </si>
  <si>
    <t>GCJ26</t>
  </si>
  <si>
    <t>GCK26</t>
  </si>
  <si>
    <t>GCM26</t>
  </si>
  <si>
    <t>GCN26</t>
  </si>
  <si>
    <t>GCQ26</t>
  </si>
  <si>
    <t>GCU26</t>
  </si>
  <si>
    <t>GCV26</t>
  </si>
  <si>
    <t>GCX26</t>
  </si>
  <si>
    <t>GCZ26</t>
  </si>
  <si>
    <t>GCF27</t>
  </si>
  <si>
    <t>GCG27</t>
  </si>
  <si>
    <t>GCH27</t>
  </si>
  <si>
    <t>GCJ27</t>
  </si>
  <si>
    <t>GCK27</t>
  </si>
  <si>
    <t>GCM27</t>
  </si>
  <si>
    <t>GCN27</t>
  </si>
  <si>
    <t>GCQ27</t>
  </si>
  <si>
    <t>GCU27</t>
  </si>
  <si>
    <t>GCV27</t>
  </si>
  <si>
    <t>GCX27</t>
  </si>
  <si>
    <t>GCZ27</t>
  </si>
  <si>
    <t>GCF28</t>
  </si>
  <si>
    <t>GCG28</t>
  </si>
  <si>
    <t>GCH28</t>
  </si>
  <si>
    <t>GCJ28</t>
  </si>
  <si>
    <t>GCK28</t>
  </si>
  <si>
    <t>GCM28</t>
  </si>
  <si>
    <t>GCZ28</t>
  </si>
  <si>
    <t>GCM29</t>
  </si>
  <si>
    <t>GCZ29</t>
  </si>
  <si>
    <t>GCM30</t>
  </si>
  <si>
    <t>GCZ30</t>
  </si>
  <si>
    <t>GCM31</t>
  </si>
  <si>
    <t>GCZ31</t>
  </si>
  <si>
    <t>MGCJ26</t>
  </si>
  <si>
    <t>MGCM26</t>
  </si>
  <si>
    <t>MGCQ26</t>
  </si>
  <si>
    <t>MGCV26</t>
  </si>
  <si>
    <t>MGCZ26</t>
  </si>
  <si>
    <t>MGCG27</t>
  </si>
  <si>
    <t>MGCJ27</t>
  </si>
  <si>
    <t>MGCM27</t>
  </si>
  <si>
    <t>MGCQ27</t>
  </si>
  <si>
    <t>MGCV27</t>
  </si>
  <si>
    <t>MGCZ27</t>
  </si>
  <si>
    <t>MGCG28</t>
  </si>
  <si>
    <t>SIH26</t>
  </si>
  <si>
    <t>SIJ26</t>
  </si>
  <si>
    <t>SIK26</t>
  </si>
  <si>
    <t>SIM26</t>
  </si>
  <si>
    <t>SIN26</t>
  </si>
  <si>
    <t>SIQ26</t>
  </si>
  <si>
    <t>SIU26</t>
  </si>
  <si>
    <t>SIV26</t>
  </si>
  <si>
    <t>SIX26</t>
  </si>
  <si>
    <t>SIZ26</t>
  </si>
  <si>
    <t>SIF27</t>
  </si>
  <si>
    <t>SIG27</t>
  </si>
  <si>
    <t>SIH27</t>
  </si>
  <si>
    <t>SIJ27</t>
  </si>
  <si>
    <t>SIK27</t>
  </si>
  <si>
    <t>SIM27</t>
  </si>
  <si>
    <t>SIN27</t>
  </si>
  <si>
    <t>SIQ27</t>
  </si>
  <si>
    <t>SIU27</t>
  </si>
  <si>
    <t>SIV27</t>
  </si>
  <si>
    <t>SIX27</t>
  </si>
  <si>
    <t>SIZ27</t>
  </si>
  <si>
    <t>SIF28</t>
  </si>
  <si>
    <t>SIG28</t>
  </si>
  <si>
    <t>SIH28</t>
  </si>
  <si>
    <t>SIJ28</t>
  </si>
  <si>
    <t>SIK28</t>
  </si>
  <si>
    <t>SIN28</t>
  </si>
  <si>
    <t>SIZ28</t>
  </si>
  <si>
    <t>SIN29</t>
  </si>
  <si>
    <t>SIZ29</t>
  </si>
  <si>
    <t>SIN30</t>
  </si>
  <si>
    <t>SIZ30</t>
  </si>
  <si>
    <t>Final Date</t>
  </si>
  <si>
    <t>---</t>
  </si>
  <si>
    <t>SILH26</t>
  </si>
  <si>
    <t>SILJ26</t>
  </si>
  <si>
    <t>SILK26</t>
  </si>
  <si>
    <t>SILM26</t>
  </si>
  <si>
    <t>SILN26</t>
  </si>
  <si>
    <t>SILU26</t>
  </si>
  <si>
    <t>SILZ26</t>
  </si>
  <si>
    <t>SILF27</t>
  </si>
  <si>
    <t>SILH27</t>
  </si>
  <si>
    <t>MBTH26</t>
  </si>
  <si>
    <t>MBTJ26</t>
  </si>
  <si>
    <t>MBTK26</t>
  </si>
  <si>
    <t>MBTM26</t>
  </si>
  <si>
    <t>MBTN26</t>
  </si>
  <si>
    <t>MBTQ26</t>
  </si>
  <si>
    <t>MBTU26</t>
  </si>
  <si>
    <t>MBTZ26</t>
  </si>
  <si>
    <t>MBTH27</t>
  </si>
  <si>
    <t>MBTM27</t>
  </si>
  <si>
    <t>MBTU27</t>
  </si>
  <si>
    <t>MBTZ27</t>
  </si>
  <si>
    <t>ECH26</t>
  </si>
  <si>
    <t>ECJ26</t>
  </si>
  <si>
    <t>ECK26</t>
  </si>
  <si>
    <t>ECM26</t>
  </si>
  <si>
    <t>ECN26</t>
  </si>
  <si>
    <t>ECQ26</t>
  </si>
  <si>
    <t>ECU26</t>
  </si>
  <si>
    <t>ECZ26</t>
  </si>
  <si>
    <t>ECH27</t>
  </si>
  <si>
    <t>ECM27</t>
  </si>
  <si>
    <t>ECU27</t>
  </si>
  <si>
    <t>ECZ27</t>
  </si>
  <si>
    <t>ECH28</t>
  </si>
  <si>
    <t>ECM28</t>
  </si>
  <si>
    <t>ECU28</t>
  </si>
  <si>
    <t>ECZ28</t>
  </si>
  <si>
    <t>ECH29</t>
  </si>
  <si>
    <t>ECM29</t>
  </si>
  <si>
    <t>ECU29</t>
  </si>
  <si>
    <t>ECZ29</t>
  </si>
  <si>
    <t>ECH30</t>
  </si>
  <si>
    <t>ECM30</t>
  </si>
  <si>
    <t>ECU30</t>
  </si>
  <si>
    <t>ECZ30</t>
  </si>
  <si>
    <t>ECH31</t>
  </si>
  <si>
    <t>PLH26</t>
  </si>
  <si>
    <t>PLJ26</t>
  </si>
  <si>
    <t>PLK26</t>
  </si>
  <si>
    <t>PLM26</t>
  </si>
  <si>
    <t>PLN26</t>
  </si>
  <si>
    <t>PLV26</t>
  </si>
  <si>
    <t>PLF27</t>
  </si>
  <si>
    <t>PLJ27</t>
  </si>
  <si>
    <t>PLN27</t>
  </si>
  <si>
    <t>PLV27</t>
  </si>
  <si>
    <t>PLF28</t>
  </si>
  <si>
    <t>PLJ28</t>
  </si>
  <si>
    <t>PLN28</t>
  </si>
  <si>
    <t>PLV28</t>
  </si>
  <si>
    <t>PLF29</t>
  </si>
  <si>
    <t>PAH26</t>
  </si>
  <si>
    <t>PAJ26</t>
  </si>
  <si>
    <t>PAK26</t>
  </si>
  <si>
    <t>PAM26</t>
  </si>
  <si>
    <t>PAU26</t>
  </si>
  <si>
    <t>PAZ26</t>
  </si>
  <si>
    <t>PAH27</t>
  </si>
  <si>
    <t>PAM27</t>
  </si>
  <si>
    <t>PAU27</t>
  </si>
  <si>
    <t>PAZ27</t>
  </si>
  <si>
    <t>PAH28</t>
  </si>
  <si>
    <t>PAM28</t>
  </si>
  <si>
    <t>PAU28</t>
  </si>
  <si>
    <t>PAZ28</t>
  </si>
  <si>
    <t>PAH29</t>
  </si>
  <si>
    <t>Exch</t>
  </si>
  <si>
    <t>BZ</t>
  </si>
  <si>
    <t>MBT</t>
  </si>
  <si>
    <t>EC</t>
  </si>
  <si>
    <t>подписи графиков</t>
  </si>
  <si>
    <t>как по дате соотносить</t>
  </si>
  <si>
    <t>GC</t>
  </si>
  <si>
    <t>NG</t>
  </si>
  <si>
    <t>PA</t>
  </si>
  <si>
    <t>SI</t>
  </si>
  <si>
    <t>PL</t>
  </si>
  <si>
    <t>MGC</t>
  </si>
  <si>
    <t>SIL</t>
  </si>
  <si>
    <t>По месяцам подстановка</t>
  </si>
  <si>
    <t>Date corr</t>
  </si>
  <si>
    <t>NYMEX</t>
  </si>
  <si>
    <t>CME</t>
  </si>
  <si>
    <t>COMEX</t>
  </si>
  <si>
    <t>COMEX_MINI</t>
  </si>
  <si>
    <t>CNH</t>
  </si>
  <si>
    <t>Final Date of Spread</t>
  </si>
  <si>
    <t>Underl MOEX</t>
  </si>
  <si>
    <t>Underl CME</t>
  </si>
  <si>
    <t>Spread for TView</t>
  </si>
  <si>
    <t>Robot 1 leg</t>
  </si>
  <si>
    <t>Robot 2 leg</t>
  </si>
  <si>
    <t>Инструмент 1</t>
  </si>
  <si>
    <t>Инструмент 2</t>
  </si>
  <si>
    <t>Код инструмента 1</t>
  </si>
  <si>
    <t>Погашение 1</t>
  </si>
  <si>
    <t>Exp Date 2</t>
  </si>
  <si>
    <t>Date Diff</t>
  </si>
  <si>
    <t>Additional 2nd Leg</t>
  </si>
  <si>
    <t>Input 2nd Leg</t>
  </si>
  <si>
    <t>Input 1st Leg</t>
  </si>
  <si>
    <t>Pairing Legs</t>
  </si>
  <si>
    <t>Trading View Codes</t>
  </si>
  <si>
    <t>Robot Codes</t>
  </si>
  <si>
    <t>2nd Legs Parameters</t>
  </si>
  <si>
    <t>Tuning</t>
  </si>
  <si>
    <t>Instrument 1</t>
  </si>
  <si>
    <t>Product Code 1</t>
  </si>
  <si>
    <t>Exp 1</t>
  </si>
  <si>
    <t>Exchange</t>
  </si>
  <si>
    <t>6E</t>
  </si>
  <si>
    <t>nasdaq etc</t>
  </si>
  <si>
    <t>6eu</t>
  </si>
  <si>
    <t>nearest pairs x all</t>
  </si>
  <si>
    <t>MESH26</t>
  </si>
  <si>
    <t>MESM26</t>
  </si>
  <si>
    <t>MESU26</t>
  </si>
  <si>
    <t>MESZ26</t>
  </si>
  <si>
    <t>MESH27</t>
  </si>
  <si>
    <t>MESM27</t>
  </si>
  <si>
    <t>Last Notice</t>
  </si>
  <si>
    <t>MNQH26</t>
  </si>
  <si>
    <t>MNQM26</t>
  </si>
  <si>
    <t>MNQU26</t>
  </si>
  <si>
    <t>MNQZ26</t>
  </si>
  <si>
    <t>MNQH27</t>
  </si>
  <si>
    <t>MNQM27</t>
  </si>
  <si>
    <t>CNHH26</t>
  </si>
  <si>
    <t>CNHM26</t>
  </si>
  <si>
    <t>CNHU26</t>
  </si>
  <si>
    <t>CNHZ26</t>
  </si>
  <si>
    <t>CNHH27</t>
  </si>
  <si>
    <t>CNHM27</t>
  </si>
  <si>
    <t>CNHU27</t>
  </si>
  <si>
    <t>MES</t>
  </si>
  <si>
    <t>MNQ</t>
  </si>
  <si>
    <t>CME_MINI</t>
  </si>
  <si>
    <t>UL corr</t>
  </si>
  <si>
    <t>UC</t>
  </si>
  <si>
    <t>NASD-3.26</t>
  </si>
  <si>
    <t>NAH6</t>
  </si>
  <si>
    <t>SPYF-3.26</t>
  </si>
  <si>
    <t>SFH6</t>
  </si>
  <si>
    <t>NASD-6.26</t>
  </si>
  <si>
    <t>NAM6</t>
  </si>
  <si>
    <t>SPYF-6.26</t>
  </si>
  <si>
    <t>SFM6</t>
  </si>
  <si>
    <t>NASD-9.26</t>
  </si>
  <si>
    <t>NAU6</t>
  </si>
  <si>
    <t>SPYF-9.26</t>
  </si>
  <si>
    <t>SFU6</t>
  </si>
  <si>
    <t>NASD-12.26</t>
  </si>
  <si>
    <t>NAZ6</t>
  </si>
  <si>
    <t>SPYF-12.26</t>
  </si>
  <si>
    <t>SFZ6</t>
  </si>
  <si>
    <t>базу данных мб на отдельный лист</t>
  </si>
  <si>
    <t>макрос для всех комбинаций - но продумать логику</t>
  </si>
  <si>
    <t>Instrument 2</t>
  </si>
  <si>
    <t>Exp 2</t>
  </si>
  <si>
    <t>Final Exp</t>
  </si>
  <si>
    <t>BR-4.26 / BZ</t>
  </si>
  <si>
    <t>BR-5.26 / BZ</t>
  </si>
  <si>
    <t>BR-6.26 / BZ</t>
  </si>
  <si>
    <t>BR-7.26 / BZ</t>
  </si>
  <si>
    <t>BR-8.26 / BZ</t>
  </si>
  <si>
    <t>BR-9.26 / BZ</t>
  </si>
  <si>
    <t>BR-10.26 / BZ</t>
  </si>
  <si>
    <t>BTC-3.26 / MBT</t>
  </si>
  <si>
    <t>BTC-4.26 / MBT</t>
  </si>
  <si>
    <t>BTC-5.26 / MBT</t>
  </si>
  <si>
    <t>ED-3.26 / EC</t>
  </si>
  <si>
    <t>ED-6.26 / EC</t>
  </si>
  <si>
    <t>ED-9.26 / EC</t>
  </si>
  <si>
    <t>ED-12.26 / EC</t>
  </si>
  <si>
    <t>GOLD-3.26 / GC</t>
  </si>
  <si>
    <t>GOLD-6.26 / GC</t>
  </si>
  <si>
    <t>GOLD-9.26 / GC</t>
  </si>
  <si>
    <t>GOLD-12.26 / GC</t>
  </si>
  <si>
    <t>NG-3.26 / NG</t>
  </si>
  <si>
    <t>NG-4.26 / NG</t>
  </si>
  <si>
    <t>NG-5.26 / NG</t>
  </si>
  <si>
    <t>NG-6.26 / NG</t>
  </si>
  <si>
    <t>NG-7.26 / NG</t>
  </si>
  <si>
    <t>NG-8.26 / NG</t>
  </si>
  <si>
    <t>NG-9.26 / NG</t>
  </si>
  <si>
    <t>PLD-3.26 / PA</t>
  </si>
  <si>
    <t>PLD-6.26 / PA</t>
  </si>
  <si>
    <t>PLD-9.26 / PA</t>
  </si>
  <si>
    <t>PLD-12.26 / PA</t>
  </si>
  <si>
    <t>PLT-3.26 / PL</t>
  </si>
  <si>
    <t>PLT-6.26 / PL</t>
  </si>
  <si>
    <t>PLT-9.26 / PL</t>
  </si>
  <si>
    <t>PLT-12.26 / PL</t>
  </si>
  <si>
    <t>SILV-3.26 / SI</t>
  </si>
  <si>
    <t>SILV-6.26 / SI</t>
  </si>
  <si>
    <t>SILV-9.26 / SI</t>
  </si>
  <si>
    <t>SILV-12.26 / SI</t>
  </si>
  <si>
    <t>GOLD-3.26 / MGC</t>
  </si>
  <si>
    <t>GOLD-6.26 / MGC</t>
  </si>
  <si>
    <t>GOLD-9.26 / MGC</t>
  </si>
  <si>
    <t>GOLD-12.26 / MGC</t>
  </si>
  <si>
    <t>SILV-3.26 / SIL</t>
  </si>
  <si>
    <t>SILV-6.26 / SIL</t>
  </si>
  <si>
    <t>SILV-9.26 / SIL</t>
  </si>
  <si>
    <t>UCNY-3.26 / CNH</t>
  </si>
  <si>
    <t>UCNY-6.26 / CNH</t>
  </si>
  <si>
    <t>UCNY-9.26 / CNH</t>
  </si>
  <si>
    <t>UCNY-12.26 / CNH</t>
  </si>
  <si>
    <t>NASD-3.26 / MNQ</t>
  </si>
  <si>
    <t>NASD-6.26 / MNQ</t>
  </si>
  <si>
    <t>NASD-9.26 / MNQ</t>
  </si>
  <si>
    <t>NASD-12.26 / MNQ</t>
  </si>
  <si>
    <t>SPYF-3.26 / MES</t>
  </si>
  <si>
    <t>SPYF-6.26 / MES</t>
  </si>
  <si>
    <t>SPYF-9.26 / MES</t>
  </si>
  <si>
    <t>SPYF-12.26 / MES</t>
  </si>
  <si>
    <t>Moex 1</t>
  </si>
  <si>
    <t>Spread Date</t>
  </si>
  <si>
    <t>Symbol Search</t>
  </si>
  <si>
    <t>Leg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</si>
</sst>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Dashed">
        <color auto="1"/>
      </right>
      <top style="medium">
        <color auto="1"/>
      </top>
      <bottom/>
      <diagonal/>
    </border>
    <border>
      <left/>
      <right style="mediumDashed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Dashed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Dashed">
        <color auto="1"/>
      </left>
      <right/>
      <top style="medium">
        <color auto="1"/>
      </top>
      <bottom/>
      <diagonal/>
    </border>
    <border>
      <left style="mediumDashed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4" fontId="0" fillId="0" borderId="0" xfId="0" quotePrefix="1" applyNumberFormat="1" applyAlignment="1">
      <alignment horizontal="center" vertical="center"/>
    </xf>
    <xf numFmtId="0" fontId="0" fillId="2" borderId="0" xfId="0" applyFill="1"/>
    <xf numFmtId="0" fontId="0" fillId="0" borderId="0" xfId="0" quotePrefix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14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/>
    <xf numFmtId="0" fontId="0" fillId="0" borderId="5" xfId="0" applyBorder="1"/>
    <xf numFmtId="0" fontId="4" fillId="2" borderId="0" xfId="0" applyFont="1" applyFill="1" applyAlignment="1">
      <alignment horizontal="center" vertical="center"/>
    </xf>
    <xf numFmtId="14" fontId="0" fillId="0" borderId="7" xfId="0" quotePrefix="1" applyNumberFormat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4" fontId="0" fillId="0" borderId="0" xfId="0" applyNumberFormat="1"/>
    <xf numFmtId="0" fontId="0" fillId="4" borderId="0" xfId="0" applyFill="1"/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14" fontId="1" fillId="5" borderId="10" xfId="0" applyNumberFormat="1" applyFont="1" applyFill="1" applyBorder="1" applyAlignment="1">
      <alignment horizontal="center" vertical="center"/>
    </xf>
    <xf numFmtId="14" fontId="1" fillId="6" borderId="10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2EAF-F813-425E-A57E-840C109B1296}">
  <sheetPr codeName="Лист1"/>
  <dimension ref="A1:AD437"/>
  <sheetViews>
    <sheetView zoomScale="70" zoomScaleNormal="70" workbookViewId="0">
      <selection activeCell="F3" sqref="F3"/>
    </sheetView>
  </sheetViews>
  <sheetFormatPr baseColWidth="10" defaultColWidth="8.83203125" defaultRowHeight="15" x14ac:dyDescent="0.2"/>
  <cols>
    <col min="1" max="1" width="16.33203125" style="18" customWidth="1"/>
    <col min="2" max="2" width="17" style="1" bestFit="1" customWidth="1"/>
    <col min="3" max="3" width="12" style="23" customWidth="1"/>
    <col min="4" max="4" width="11.6640625" style="1" bestFit="1" customWidth="1"/>
    <col min="5" max="5" width="10.5" style="23" bestFit="1" customWidth="1"/>
    <col min="6" max="6" width="33.1640625" style="13" bestFit="1" customWidth="1"/>
    <col min="7" max="7" width="17.33203125" style="22" bestFit="1" customWidth="1"/>
    <col min="8" max="8" width="11" style="1" bestFit="1" customWidth="1"/>
    <col min="9" max="9" width="10.1640625" style="23" customWidth="1"/>
    <col min="10" max="10" width="12.5" style="1" bestFit="1" customWidth="1"/>
    <col min="11" max="11" width="10.1640625" style="22" bestFit="1" customWidth="1"/>
    <col min="12" max="12" width="8.5" style="1" bestFit="1" customWidth="1"/>
    <col min="13" max="13" width="8" style="1" bestFit="1" customWidth="1"/>
    <col min="14" max="14" width="8.83203125" style="19" customWidth="1"/>
    <col min="15" max="15" width="8.83203125" style="44" customWidth="1"/>
    <col min="16" max="16" width="8.83203125" style="41"/>
    <col min="17" max="17" width="18.33203125" style="18" bestFit="1" customWidth="1"/>
    <col min="18" max="18" width="15.83203125" style="1" bestFit="1" customWidth="1"/>
    <col min="19" max="19" width="15.6640625" style="1" bestFit="1" customWidth="1"/>
    <col min="20" max="20" width="16.5" style="1" bestFit="1" customWidth="1"/>
    <col min="21" max="21" width="10.6640625" style="23" bestFit="1" customWidth="1"/>
    <col min="22" max="22" width="15.33203125" style="1" bestFit="1" customWidth="1"/>
    <col min="23" max="23" width="13.6640625" bestFit="1" customWidth="1"/>
    <col min="24" max="24" width="10.6640625" style="35" customWidth="1"/>
  </cols>
  <sheetData>
    <row r="1" spans="1:30" x14ac:dyDescent="0.2">
      <c r="A1" s="51" t="s">
        <v>533</v>
      </c>
      <c r="B1" s="52"/>
      <c r="C1" s="55"/>
      <c r="D1" s="52" t="s">
        <v>534</v>
      </c>
      <c r="E1" s="55"/>
      <c r="F1" s="52" t="s">
        <v>535</v>
      </c>
      <c r="G1" s="55"/>
      <c r="H1" s="52" t="s">
        <v>536</v>
      </c>
      <c r="I1" s="55"/>
      <c r="J1" s="52" t="s">
        <v>537</v>
      </c>
      <c r="K1" s="55"/>
      <c r="L1" s="56" t="s">
        <v>538</v>
      </c>
      <c r="M1" s="52"/>
      <c r="N1" s="53"/>
      <c r="O1" s="43"/>
      <c r="Q1" s="51" t="s">
        <v>532</v>
      </c>
      <c r="R1" s="52"/>
      <c r="S1" s="52"/>
      <c r="T1" s="52"/>
      <c r="U1" s="52"/>
      <c r="V1" s="52" t="s">
        <v>531</v>
      </c>
      <c r="W1" s="52"/>
      <c r="X1" s="53"/>
      <c r="AC1" s="54" t="s">
        <v>542</v>
      </c>
      <c r="AD1" s="54"/>
    </row>
    <row r="2" spans="1:30" ht="16" thickBot="1" x14ac:dyDescent="0.25">
      <c r="A2" s="26" t="s">
        <v>539</v>
      </c>
      <c r="B2" s="27" t="s">
        <v>540</v>
      </c>
      <c r="C2" s="28" t="s">
        <v>541</v>
      </c>
      <c r="D2" s="29" t="s">
        <v>520</v>
      </c>
      <c r="E2" s="30" t="s">
        <v>521</v>
      </c>
      <c r="F2" s="31" t="s">
        <v>522</v>
      </c>
      <c r="G2" s="32" t="s">
        <v>519</v>
      </c>
      <c r="H2" s="29" t="s">
        <v>523</v>
      </c>
      <c r="I2" s="33" t="s">
        <v>524</v>
      </c>
      <c r="J2" s="29" t="s">
        <v>526</v>
      </c>
      <c r="K2" s="32" t="s">
        <v>529</v>
      </c>
      <c r="L2" s="39" t="s">
        <v>513</v>
      </c>
      <c r="M2" s="29" t="s">
        <v>530</v>
      </c>
      <c r="N2" s="45" t="s">
        <v>570</v>
      </c>
      <c r="O2" s="43"/>
      <c r="P2" s="42"/>
      <c r="Q2" s="17" t="s">
        <v>82</v>
      </c>
      <c r="R2" s="36" t="s">
        <v>83</v>
      </c>
      <c r="S2" s="16" t="s">
        <v>84</v>
      </c>
      <c r="T2" s="8" t="s">
        <v>85</v>
      </c>
      <c r="U2" s="21" t="s">
        <v>337</v>
      </c>
      <c r="V2" s="3" t="s">
        <v>421</v>
      </c>
      <c r="W2" s="4" t="s">
        <v>521</v>
      </c>
      <c r="X2" s="34" t="s">
        <v>499</v>
      </c>
      <c r="Z2" t="s">
        <v>338</v>
      </c>
      <c r="AC2" s="4" t="s">
        <v>336</v>
      </c>
      <c r="AD2" s="4" t="s">
        <v>499</v>
      </c>
    </row>
    <row r="3" spans="1:30" ht="16" thickTop="1" x14ac:dyDescent="0.2">
      <c r="A3" s="18" t="s">
        <v>16</v>
      </c>
      <c r="B3" s="1" t="s">
        <v>17</v>
      </c>
      <c r="C3" s="22">
        <v>46113</v>
      </c>
      <c r="D3" s="1" t="str">
        <f t="shared" ref="D3:D58" si="0">MID(A3,1,SEARCH("-",A3,1)-1)</f>
        <v>BR</v>
      </c>
      <c r="E3" s="23" t="s">
        <v>500</v>
      </c>
      <c r="F3" s="13" t="str">
        <f t="shared" ref="F3:F46" si="1">"RUS:"&amp;MID(B3,1,LEN(B3)-1)&amp;"20"&amp;RIGHT(A3,2)&amp;"-"&amp;INDEX(X:X, MATCH(J3,Q:Q,0))&amp;":"&amp;IF(N3="", MID(J3,1,LEN(J3)-2), N3&amp;MID(J3,LEN(J3)-2,1))&amp;"20"&amp;RIGHT(J3,2)</f>
        <v>RUS:BRJ2026-NYMEX:BZK2026</v>
      </c>
      <c r="G3" s="22">
        <f t="shared" ref="G3:G50" si="2">MIN(C3,K3)</f>
        <v>46112</v>
      </c>
      <c r="H3" s="1" t="str">
        <f t="shared" ref="H3:H50" si="3">A3</f>
        <v>BR-4.26</v>
      </c>
      <c r="I3" s="23" t="str">
        <f t="shared" ref="I3:I12" si="4">"QR_"&amp;IF(N3="", MID(J3,1,LEN(J3)-2)&amp;RIGHT(J3),N3&amp;MID(J3,LEN(J3)-2,1)&amp;RIGHT(J3))</f>
        <v>QR_BZK6</v>
      </c>
      <c r="J3" s="1" t="str" cm="1">
        <f t="array" ref="J3">INDEX(Q:Q,MATCH(1, (W:W=E3)*(V:V&gt;=C3-L3)*(V:V&lt;=C3+L3), 0))</f>
        <v>BZK26</v>
      </c>
      <c r="K3" s="22">
        <f t="shared" ref="K3:K50" si="5">INDEX(V:V, MATCH(J3,Q:Q,0))</f>
        <v>46112</v>
      </c>
      <c r="L3" s="1">
        <v>10</v>
      </c>
      <c r="M3" s="1">
        <f t="shared" ref="M3:M50" si="6">K3-C3</f>
        <v>-1</v>
      </c>
      <c r="Q3" s="18" t="s">
        <v>87</v>
      </c>
      <c r="R3" s="2">
        <v>41605</v>
      </c>
      <c r="S3" s="2">
        <v>46108</v>
      </c>
      <c r="T3" s="2">
        <v>46108</v>
      </c>
      <c r="U3" s="37" t="s">
        <v>422</v>
      </c>
      <c r="V3" s="2">
        <f>MIN(S3:U3)</f>
        <v>46108</v>
      </c>
      <c r="W3" t="str">
        <f>MID(Q3,1,LEN(Q3)-3)</f>
        <v>NG</v>
      </c>
      <c r="X3" s="35" t="str">
        <f t="shared" ref="X3:X66" si="7">IFERROR(INDEX(AD:AD, MATCH(W3,AC:AC,0)),"---")</f>
        <v>NYMEX</v>
      </c>
      <c r="AC3" t="s">
        <v>500</v>
      </c>
      <c r="AD3" t="s">
        <v>514</v>
      </c>
    </row>
    <row r="4" spans="1:30" x14ac:dyDescent="0.2">
      <c r="A4" s="18" t="s">
        <v>22</v>
      </c>
      <c r="B4" s="1" t="s">
        <v>23</v>
      </c>
      <c r="C4" s="22">
        <v>46146</v>
      </c>
      <c r="D4" s="1" t="str">
        <f t="shared" si="0"/>
        <v>BR</v>
      </c>
      <c r="E4" s="23" t="s">
        <v>500</v>
      </c>
      <c r="F4" s="13" t="str">
        <f t="shared" si="1"/>
        <v>RUS:BRK2026-NYMEX:BZM2026</v>
      </c>
      <c r="G4" s="22">
        <f t="shared" si="2"/>
        <v>46142</v>
      </c>
      <c r="H4" s="1" t="str">
        <f t="shared" si="3"/>
        <v>BR-5.26</v>
      </c>
      <c r="I4" s="23" t="str">
        <f t="shared" si="4"/>
        <v>QR_BZM6</v>
      </c>
      <c r="J4" s="1" t="str" cm="1">
        <f t="array" ref="J4">INDEX(Q:Q,MATCH(1, (W:W=E4)*(V:V&gt;=C4-L4)*(V:V&lt;=C4+L4), 0))</f>
        <v>BZM26</v>
      </c>
      <c r="K4" s="22">
        <f t="shared" si="5"/>
        <v>46142</v>
      </c>
      <c r="L4" s="1">
        <v>10</v>
      </c>
      <c r="M4" s="1">
        <f t="shared" si="6"/>
        <v>-4</v>
      </c>
      <c r="Q4" s="18" t="s">
        <v>88</v>
      </c>
      <c r="R4" s="2">
        <v>41605</v>
      </c>
      <c r="S4" s="2">
        <v>46140</v>
      </c>
      <c r="T4" s="2">
        <v>46140</v>
      </c>
      <c r="U4" s="37" t="s">
        <v>422</v>
      </c>
      <c r="V4" s="2">
        <f t="shared" ref="V4:V67" si="8">MIN(S4:U4)</f>
        <v>46140</v>
      </c>
      <c r="W4" t="str">
        <f t="shared" ref="W4:W67" si="9">MID(Q4,1,LEN(Q4)-3)</f>
        <v>NG</v>
      </c>
      <c r="X4" s="35" t="str">
        <f t="shared" si="7"/>
        <v>NYMEX</v>
      </c>
      <c r="Z4" t="s">
        <v>339</v>
      </c>
      <c r="AC4" t="s">
        <v>501</v>
      </c>
      <c r="AD4" t="s">
        <v>515</v>
      </c>
    </row>
    <row r="5" spans="1:30" x14ac:dyDescent="0.2">
      <c r="A5" s="18" t="s">
        <v>28</v>
      </c>
      <c r="B5" s="1" t="s">
        <v>29</v>
      </c>
      <c r="C5" s="22">
        <v>46174</v>
      </c>
      <c r="D5" s="1" t="str">
        <f t="shared" si="0"/>
        <v>BR</v>
      </c>
      <c r="E5" s="23" t="s">
        <v>500</v>
      </c>
      <c r="F5" s="13" t="str">
        <f t="shared" si="1"/>
        <v>RUS:BRM2026-NYMEX:BZN2026</v>
      </c>
      <c r="G5" s="22">
        <f t="shared" si="2"/>
        <v>46171</v>
      </c>
      <c r="H5" s="1" t="str">
        <f t="shared" si="3"/>
        <v>BR-6.26</v>
      </c>
      <c r="I5" s="23" t="str">
        <f t="shared" si="4"/>
        <v>QR_BZN6</v>
      </c>
      <c r="J5" s="1" t="str" cm="1">
        <f t="array" ref="J5">INDEX(Q:Q,MATCH(1, (W:W=E5)*(V:V&gt;=C5-L5)*(V:V&lt;=C5+L5), 0))</f>
        <v>BZN26</v>
      </c>
      <c r="K5" s="22">
        <f t="shared" si="5"/>
        <v>46171</v>
      </c>
      <c r="L5" s="1">
        <v>10</v>
      </c>
      <c r="M5" s="1">
        <f t="shared" si="6"/>
        <v>-3</v>
      </c>
      <c r="Q5" s="18" t="s">
        <v>89</v>
      </c>
      <c r="R5" s="2">
        <v>41605</v>
      </c>
      <c r="S5" s="2">
        <v>46169</v>
      </c>
      <c r="T5" s="2">
        <v>46169</v>
      </c>
      <c r="U5" s="37" t="s">
        <v>422</v>
      </c>
      <c r="V5" s="2">
        <f t="shared" si="8"/>
        <v>46169</v>
      </c>
      <c r="W5" t="str">
        <f t="shared" si="9"/>
        <v>NG</v>
      </c>
      <c r="X5" s="35" t="str">
        <f t="shared" si="7"/>
        <v>NYMEX</v>
      </c>
      <c r="Z5" t="s">
        <v>340</v>
      </c>
      <c r="AC5" t="s">
        <v>502</v>
      </c>
      <c r="AD5" t="s">
        <v>515</v>
      </c>
    </row>
    <row r="6" spans="1:30" x14ac:dyDescent="0.2">
      <c r="A6" s="18" t="s">
        <v>44</v>
      </c>
      <c r="B6" s="1" t="s">
        <v>45</v>
      </c>
      <c r="C6" s="22">
        <v>46204</v>
      </c>
      <c r="D6" s="1" t="str">
        <f t="shared" si="0"/>
        <v>BR</v>
      </c>
      <c r="E6" s="23" t="s">
        <v>500</v>
      </c>
      <c r="F6" s="13" t="str">
        <f t="shared" si="1"/>
        <v>RUS:BRN2026-NYMEX:BZQ2026</v>
      </c>
      <c r="G6" s="22">
        <f t="shared" si="2"/>
        <v>46203</v>
      </c>
      <c r="H6" s="1" t="str">
        <f t="shared" si="3"/>
        <v>BR-7.26</v>
      </c>
      <c r="I6" s="23" t="str">
        <f t="shared" si="4"/>
        <v>QR_BZQ6</v>
      </c>
      <c r="J6" s="1" t="str" cm="1">
        <f t="array" ref="J6">INDEX(Q:Q,MATCH(1, (W:W=E6)*(V:V&gt;=C6-L6)*(V:V&lt;=C6+L6), 0))</f>
        <v>BZQ26</v>
      </c>
      <c r="K6" s="22">
        <f t="shared" si="5"/>
        <v>46203</v>
      </c>
      <c r="L6" s="1">
        <v>10</v>
      </c>
      <c r="M6" s="1">
        <f t="shared" si="6"/>
        <v>-1</v>
      </c>
      <c r="Q6" s="18" t="s">
        <v>90</v>
      </c>
      <c r="R6" s="2">
        <v>41605</v>
      </c>
      <c r="S6" s="2">
        <v>46199</v>
      </c>
      <c r="T6" s="2">
        <v>46199</v>
      </c>
      <c r="U6" s="37" t="s">
        <v>422</v>
      </c>
      <c r="V6" s="2">
        <f t="shared" si="8"/>
        <v>46199</v>
      </c>
      <c r="W6" t="str">
        <f t="shared" si="9"/>
        <v>NG</v>
      </c>
      <c r="X6" s="35" t="str">
        <f t="shared" si="7"/>
        <v>NYMEX</v>
      </c>
      <c r="Z6" t="s">
        <v>503</v>
      </c>
      <c r="AC6" t="s">
        <v>505</v>
      </c>
      <c r="AD6" t="s">
        <v>516</v>
      </c>
    </row>
    <row r="7" spans="1:30" x14ac:dyDescent="0.2">
      <c r="A7" s="18" t="s">
        <v>48</v>
      </c>
      <c r="B7" s="1" t="s">
        <v>49</v>
      </c>
      <c r="C7" s="22">
        <v>46237</v>
      </c>
      <c r="D7" s="1" t="str">
        <f t="shared" si="0"/>
        <v>BR</v>
      </c>
      <c r="E7" s="23" t="s">
        <v>500</v>
      </c>
      <c r="F7" s="13" t="str">
        <f t="shared" si="1"/>
        <v>RUS:BRQ2026-NYMEX:BZU2026</v>
      </c>
      <c r="G7" s="22">
        <f t="shared" si="2"/>
        <v>46234</v>
      </c>
      <c r="H7" s="1" t="str">
        <f t="shared" si="3"/>
        <v>BR-8.26</v>
      </c>
      <c r="I7" s="23" t="str">
        <f t="shared" si="4"/>
        <v>QR_BZU6</v>
      </c>
      <c r="J7" s="1" t="str" cm="1">
        <f t="array" ref="J7">INDEX(Q:Q,MATCH(1, (W:W=E7)*(V:V&gt;=C7-L7)*(V:V&lt;=C7+L7), 0))</f>
        <v>BZU26</v>
      </c>
      <c r="K7" s="22">
        <f t="shared" si="5"/>
        <v>46234</v>
      </c>
      <c r="L7" s="1">
        <v>10</v>
      </c>
      <c r="M7" s="1">
        <f t="shared" si="6"/>
        <v>-3</v>
      </c>
      <c r="Q7" s="18" t="s">
        <v>91</v>
      </c>
      <c r="R7" s="2">
        <v>41605</v>
      </c>
      <c r="S7" s="2">
        <v>46232</v>
      </c>
      <c r="T7" s="2">
        <v>46232</v>
      </c>
      <c r="U7" s="37" t="s">
        <v>422</v>
      </c>
      <c r="V7" s="2">
        <f t="shared" si="8"/>
        <v>46232</v>
      </c>
      <c r="W7" t="str">
        <f t="shared" si="9"/>
        <v>NG</v>
      </c>
      <c r="X7" s="35" t="str">
        <f t="shared" si="7"/>
        <v>NYMEX</v>
      </c>
      <c r="AC7" t="s">
        <v>506</v>
      </c>
      <c r="AD7" t="s">
        <v>514</v>
      </c>
    </row>
    <row r="8" spans="1:30" x14ac:dyDescent="0.2">
      <c r="A8" s="18" t="s">
        <v>52</v>
      </c>
      <c r="B8" s="1" t="s">
        <v>53</v>
      </c>
      <c r="C8" s="22">
        <v>46265</v>
      </c>
      <c r="D8" s="1" t="str">
        <f t="shared" si="0"/>
        <v>BR</v>
      </c>
      <c r="E8" s="23" t="s">
        <v>500</v>
      </c>
      <c r="F8" s="13" t="str">
        <f t="shared" si="1"/>
        <v>RUS:BRU2026-NYMEX:BZV2026</v>
      </c>
      <c r="G8" s="22">
        <f t="shared" si="2"/>
        <v>46262</v>
      </c>
      <c r="H8" s="1" t="str">
        <f t="shared" si="3"/>
        <v>BR-9.26</v>
      </c>
      <c r="I8" s="23" t="str">
        <f t="shared" si="4"/>
        <v>QR_BZV6</v>
      </c>
      <c r="J8" s="1" t="str" cm="1">
        <f t="array" ref="J8">INDEX(Q:Q,MATCH(1, (W:W=E8)*(V:V&gt;=C8-L8)*(V:V&lt;=C8+L8), 0))</f>
        <v>BZV26</v>
      </c>
      <c r="K8" s="22">
        <f t="shared" si="5"/>
        <v>46262</v>
      </c>
      <c r="L8" s="1">
        <v>10</v>
      </c>
      <c r="M8" s="1">
        <f t="shared" si="6"/>
        <v>-3</v>
      </c>
      <c r="Q8" s="18" t="s">
        <v>92</v>
      </c>
      <c r="R8" s="2">
        <v>41605</v>
      </c>
      <c r="S8" s="2">
        <v>46261</v>
      </c>
      <c r="T8" s="2">
        <v>46261</v>
      </c>
      <c r="U8" s="37" t="s">
        <v>422</v>
      </c>
      <c r="V8" s="2">
        <f t="shared" si="8"/>
        <v>46261</v>
      </c>
      <c r="W8" t="str">
        <f t="shared" si="9"/>
        <v>NG</v>
      </c>
      <c r="X8" s="35" t="str">
        <f t="shared" si="7"/>
        <v>NYMEX</v>
      </c>
      <c r="Z8" t="s">
        <v>504</v>
      </c>
      <c r="AC8" t="s">
        <v>507</v>
      </c>
      <c r="AD8" t="s">
        <v>514</v>
      </c>
    </row>
    <row r="9" spans="1:30" x14ac:dyDescent="0.2">
      <c r="A9" s="18" t="s">
        <v>68</v>
      </c>
      <c r="B9" s="1" t="s">
        <v>69</v>
      </c>
      <c r="C9" s="22">
        <v>46296</v>
      </c>
      <c r="D9" s="1" t="str">
        <f t="shared" si="0"/>
        <v>BR</v>
      </c>
      <c r="E9" s="23" t="s">
        <v>500</v>
      </c>
      <c r="F9" s="13" t="str">
        <f t="shared" si="1"/>
        <v>RUS:BRV2026-NYMEX:BZX2026</v>
      </c>
      <c r="G9" s="22">
        <f t="shared" si="2"/>
        <v>46295</v>
      </c>
      <c r="H9" s="1" t="str">
        <f t="shared" si="3"/>
        <v>BR-10.26</v>
      </c>
      <c r="I9" s="23" t="str">
        <f t="shared" si="4"/>
        <v>QR_BZX6</v>
      </c>
      <c r="J9" s="1" t="str" cm="1">
        <f t="array" ref="J9">INDEX(Q:Q,MATCH(1, (W:W=E9)*(V:V&gt;=C9-L9)*(V:V&lt;=C9+L9), 0))</f>
        <v>BZX26</v>
      </c>
      <c r="K9" s="22">
        <f t="shared" si="5"/>
        <v>46295</v>
      </c>
      <c r="L9" s="1">
        <v>10</v>
      </c>
      <c r="M9" s="1">
        <f t="shared" si="6"/>
        <v>-1</v>
      </c>
      <c r="Q9" s="18" t="s">
        <v>93</v>
      </c>
      <c r="R9" s="2">
        <v>41605</v>
      </c>
      <c r="S9" s="2">
        <v>46293</v>
      </c>
      <c r="T9" s="2">
        <v>46293</v>
      </c>
      <c r="U9" s="37" t="s">
        <v>422</v>
      </c>
      <c r="V9" s="2">
        <f t="shared" si="8"/>
        <v>46293</v>
      </c>
      <c r="W9" t="str">
        <f t="shared" si="9"/>
        <v>NG</v>
      </c>
      <c r="X9" s="35" t="str">
        <f t="shared" si="7"/>
        <v>NYMEX</v>
      </c>
      <c r="AC9" t="s">
        <v>509</v>
      </c>
      <c r="AD9" t="s">
        <v>514</v>
      </c>
    </row>
    <row r="10" spans="1:30" x14ac:dyDescent="0.2">
      <c r="A10" s="18" t="s">
        <v>14</v>
      </c>
      <c r="B10" s="1" t="s">
        <v>15</v>
      </c>
      <c r="C10" s="22">
        <v>46108</v>
      </c>
      <c r="D10" s="1" t="str">
        <f t="shared" si="0"/>
        <v>BTC</v>
      </c>
      <c r="E10" s="23" t="s">
        <v>501</v>
      </c>
      <c r="F10" s="13" t="str">
        <f t="shared" si="1"/>
        <v>RUS:BTH2026-CME:MBTH2026</v>
      </c>
      <c r="G10" s="22">
        <f t="shared" si="2"/>
        <v>46108</v>
      </c>
      <c r="H10" s="1" t="str">
        <f t="shared" si="3"/>
        <v>BTC-3.26</v>
      </c>
      <c r="I10" s="23" t="str">
        <f t="shared" si="4"/>
        <v>QR_MBTH6</v>
      </c>
      <c r="J10" s="1" t="str" cm="1">
        <f t="array" ref="J10">INDEX(Q:Q,MATCH(1, (W:W=E10)*(V:V&gt;=C10-L10)*(V:V&lt;=C10+L10), 0))</f>
        <v>MBTH26</v>
      </c>
      <c r="K10" s="22">
        <f t="shared" si="5"/>
        <v>46108</v>
      </c>
      <c r="L10" s="1">
        <v>10</v>
      </c>
      <c r="M10" s="1">
        <f t="shared" si="6"/>
        <v>0</v>
      </c>
      <c r="Q10" s="18" t="s">
        <v>94</v>
      </c>
      <c r="R10" s="2">
        <v>41605</v>
      </c>
      <c r="S10" s="2">
        <v>46323</v>
      </c>
      <c r="T10" s="2">
        <v>46323</v>
      </c>
      <c r="U10" s="37" t="s">
        <v>422</v>
      </c>
      <c r="V10" s="2">
        <f t="shared" si="8"/>
        <v>46323</v>
      </c>
      <c r="W10" t="str">
        <f t="shared" si="9"/>
        <v>NG</v>
      </c>
      <c r="X10" s="35" t="str">
        <f t="shared" si="7"/>
        <v>NYMEX</v>
      </c>
      <c r="AC10" t="s">
        <v>508</v>
      </c>
      <c r="AD10" t="s">
        <v>516</v>
      </c>
    </row>
    <row r="11" spans="1:30" x14ac:dyDescent="0.2">
      <c r="A11" s="18" t="s">
        <v>18</v>
      </c>
      <c r="B11" s="1" t="s">
        <v>19</v>
      </c>
      <c r="C11" s="22">
        <v>46136</v>
      </c>
      <c r="D11" s="1" t="str">
        <f t="shared" si="0"/>
        <v>BTC</v>
      </c>
      <c r="E11" s="23" t="s">
        <v>501</v>
      </c>
      <c r="F11" s="13" t="str">
        <f t="shared" si="1"/>
        <v>RUS:BTJ2026-CME:MBTJ2026</v>
      </c>
      <c r="G11" s="22">
        <f t="shared" si="2"/>
        <v>46136</v>
      </c>
      <c r="H11" s="1" t="str">
        <f t="shared" si="3"/>
        <v>BTC-4.26</v>
      </c>
      <c r="I11" s="23" t="str">
        <f t="shared" si="4"/>
        <v>QR_MBTJ6</v>
      </c>
      <c r="J11" s="1" t="str" cm="1">
        <f t="array" ref="J11">INDEX(Q:Q,MATCH(1, (W:W=E11)*(V:V&gt;=C11-L11)*(V:V&lt;=C11+L11), 0))</f>
        <v>MBTJ26</v>
      </c>
      <c r="K11" s="22">
        <f t="shared" si="5"/>
        <v>46136</v>
      </c>
      <c r="L11" s="1">
        <v>10</v>
      </c>
      <c r="M11" s="1">
        <f t="shared" si="6"/>
        <v>0</v>
      </c>
      <c r="Q11" s="18" t="s">
        <v>95</v>
      </c>
      <c r="R11" s="2">
        <v>41605</v>
      </c>
      <c r="S11" s="2">
        <v>46351</v>
      </c>
      <c r="T11" s="2">
        <v>46351</v>
      </c>
      <c r="U11" s="37" t="s">
        <v>422</v>
      </c>
      <c r="V11" s="2">
        <f t="shared" si="8"/>
        <v>46351</v>
      </c>
      <c r="W11" t="str">
        <f t="shared" si="9"/>
        <v>NG</v>
      </c>
      <c r="X11" s="35" t="str">
        <f t="shared" si="7"/>
        <v>NYMEX</v>
      </c>
      <c r="Z11" t="s">
        <v>512</v>
      </c>
      <c r="AC11" t="s">
        <v>510</v>
      </c>
      <c r="AD11" t="s">
        <v>517</v>
      </c>
    </row>
    <row r="12" spans="1:30" x14ac:dyDescent="0.2">
      <c r="A12" s="18" t="s">
        <v>26</v>
      </c>
      <c r="B12" s="1" t="s">
        <v>27</v>
      </c>
      <c r="C12" s="22">
        <v>46171</v>
      </c>
      <c r="D12" s="1" t="str">
        <f t="shared" si="0"/>
        <v>BTC</v>
      </c>
      <c r="E12" s="23" t="s">
        <v>501</v>
      </c>
      <c r="F12" s="13" t="str">
        <f t="shared" si="1"/>
        <v>RUS:BTK2026-CME:MBTK2026</v>
      </c>
      <c r="G12" s="22">
        <f t="shared" si="2"/>
        <v>46171</v>
      </c>
      <c r="H12" s="1" t="str">
        <f t="shared" si="3"/>
        <v>BTC-5.26</v>
      </c>
      <c r="I12" s="23" t="str">
        <f t="shared" si="4"/>
        <v>QR_MBTK6</v>
      </c>
      <c r="J12" s="1" t="str" cm="1">
        <f t="array" ref="J12">INDEX(Q:Q,MATCH(1, (W:W=E12)*(V:V&gt;=C12-L12)*(V:V&lt;=C12+L12), 0))</f>
        <v>MBTK26</v>
      </c>
      <c r="K12" s="22">
        <f t="shared" si="5"/>
        <v>46171</v>
      </c>
      <c r="L12" s="1">
        <v>10</v>
      </c>
      <c r="M12" s="1">
        <f t="shared" si="6"/>
        <v>0</v>
      </c>
      <c r="Q12" s="18" t="s">
        <v>96</v>
      </c>
      <c r="R12" s="2">
        <v>41969</v>
      </c>
      <c r="S12" s="2">
        <v>46385</v>
      </c>
      <c r="T12" s="2">
        <v>46385</v>
      </c>
      <c r="U12" s="37" t="s">
        <v>422</v>
      </c>
      <c r="V12" s="2">
        <f t="shared" si="8"/>
        <v>46385</v>
      </c>
      <c r="W12" t="str">
        <f t="shared" si="9"/>
        <v>NG</v>
      </c>
      <c r="X12" s="35" t="str">
        <f t="shared" si="7"/>
        <v>NYMEX</v>
      </c>
      <c r="AC12" t="s">
        <v>511</v>
      </c>
      <c r="AD12" t="s">
        <v>517</v>
      </c>
    </row>
    <row r="13" spans="1:30" x14ac:dyDescent="0.2">
      <c r="A13" s="18" t="s">
        <v>0</v>
      </c>
      <c r="B13" s="1" t="s">
        <v>1</v>
      </c>
      <c r="C13" s="22">
        <v>46100</v>
      </c>
      <c r="D13" s="1" t="str">
        <f t="shared" si="0"/>
        <v>ED</v>
      </c>
      <c r="E13" s="23" t="s">
        <v>502</v>
      </c>
      <c r="F13" s="13" t="str">
        <f t="shared" si="1"/>
        <v>RUS:EDH2026-CME:6EH2026</v>
      </c>
      <c r="G13" s="22">
        <f t="shared" si="2"/>
        <v>46097</v>
      </c>
      <c r="H13" s="1" t="str">
        <f t="shared" si="3"/>
        <v>ED-3.26</v>
      </c>
      <c r="I13" s="23" t="str">
        <f>"QR_"&amp;IF(N13="", MID(J13,1,LEN(J13)-2)&amp;RIGHT(J13),N13&amp;MID(J13,LEN(J13)-2,1)&amp;RIGHT(J13))</f>
        <v>QR_6EH6</v>
      </c>
      <c r="J13" s="1" t="str" cm="1">
        <f t="array" ref="J13">INDEX(Q:Q,MATCH(1, (W:W=E13)*(V:V&gt;=C13-L13)*(V:V&lt;=C13+L13), 0))</f>
        <v>ECH26</v>
      </c>
      <c r="K13" s="22">
        <f t="shared" si="5"/>
        <v>46097</v>
      </c>
      <c r="L13" s="1">
        <v>10</v>
      </c>
      <c r="M13" s="1">
        <f t="shared" si="6"/>
        <v>-3</v>
      </c>
      <c r="N13" s="19" t="s">
        <v>543</v>
      </c>
      <c r="Q13" s="18" t="s">
        <v>97</v>
      </c>
      <c r="R13" s="2">
        <v>41969</v>
      </c>
      <c r="S13" s="2">
        <v>46414</v>
      </c>
      <c r="T13" s="2">
        <v>46414</v>
      </c>
      <c r="U13" s="37" t="s">
        <v>422</v>
      </c>
      <c r="V13" s="2">
        <f t="shared" si="8"/>
        <v>46414</v>
      </c>
      <c r="W13" t="str">
        <f t="shared" si="9"/>
        <v>NG</v>
      </c>
      <c r="X13" s="35" t="str">
        <f t="shared" si="7"/>
        <v>NYMEX</v>
      </c>
      <c r="AC13" t="s">
        <v>518</v>
      </c>
      <c r="AD13" t="s">
        <v>515</v>
      </c>
    </row>
    <row r="14" spans="1:30" x14ac:dyDescent="0.2">
      <c r="A14" s="18" t="s">
        <v>30</v>
      </c>
      <c r="B14" s="1" t="s">
        <v>31</v>
      </c>
      <c r="C14" s="22">
        <v>46191</v>
      </c>
      <c r="D14" s="1" t="str">
        <f t="shared" si="0"/>
        <v>ED</v>
      </c>
      <c r="E14" s="23" t="s">
        <v>502</v>
      </c>
      <c r="F14" s="13" t="str">
        <f t="shared" si="1"/>
        <v>RUS:EDM2026-CME:6EM2026</v>
      </c>
      <c r="G14" s="22">
        <f t="shared" si="2"/>
        <v>46188</v>
      </c>
      <c r="H14" s="1" t="str">
        <f t="shared" si="3"/>
        <v>ED-6.26</v>
      </c>
      <c r="I14" s="23" t="str">
        <f t="shared" ref="I14:I50" si="10">"QR_"&amp;IF(N14="", MID(J14,1,LEN(J14)-2)&amp;RIGHT(J14),N14&amp;MID(J14,LEN(J14)-2,1)&amp;RIGHT(J14))</f>
        <v>QR_6EM6</v>
      </c>
      <c r="J14" s="1" t="str" cm="1">
        <f t="array" ref="J14">INDEX(Q:Q,MATCH(1, (W:W=E14)*(V:V&gt;=C14-L14)*(V:V&lt;=C14+L14), 0))</f>
        <v>ECM26</v>
      </c>
      <c r="K14" s="22">
        <f t="shared" si="5"/>
        <v>46188</v>
      </c>
      <c r="L14" s="1">
        <v>10</v>
      </c>
      <c r="M14" s="1">
        <f t="shared" si="6"/>
        <v>-3</v>
      </c>
      <c r="N14" s="19" t="s">
        <v>543</v>
      </c>
      <c r="Q14" s="18" t="s">
        <v>98</v>
      </c>
      <c r="R14" s="2">
        <v>41969</v>
      </c>
      <c r="S14" s="2">
        <v>46442</v>
      </c>
      <c r="T14" s="2">
        <v>46442</v>
      </c>
      <c r="U14" s="37" t="s">
        <v>422</v>
      </c>
      <c r="V14" s="2">
        <f t="shared" si="8"/>
        <v>46442</v>
      </c>
      <c r="W14" t="str">
        <f t="shared" si="9"/>
        <v>NG</v>
      </c>
      <c r="X14" s="35" t="str">
        <f t="shared" si="7"/>
        <v>NYMEX</v>
      </c>
      <c r="AC14" t="s">
        <v>567</v>
      </c>
      <c r="AD14" t="s">
        <v>569</v>
      </c>
    </row>
    <row r="15" spans="1:30" x14ac:dyDescent="0.2">
      <c r="A15" s="18" t="s">
        <v>54</v>
      </c>
      <c r="B15" s="1" t="s">
        <v>55</v>
      </c>
      <c r="C15" s="22">
        <v>46282</v>
      </c>
      <c r="D15" s="1" t="str">
        <f t="shared" si="0"/>
        <v>ED</v>
      </c>
      <c r="E15" s="23" t="s">
        <v>502</v>
      </c>
      <c r="F15" s="13" t="str">
        <f t="shared" si="1"/>
        <v>RUS:EDU2026-CME:6EU2026</v>
      </c>
      <c r="G15" s="22">
        <f t="shared" si="2"/>
        <v>46279</v>
      </c>
      <c r="H15" s="1" t="str">
        <f t="shared" si="3"/>
        <v>ED-9.26</v>
      </c>
      <c r="I15" s="23" t="str">
        <f t="shared" si="10"/>
        <v>QR_6EU6</v>
      </c>
      <c r="J15" s="1" t="str" cm="1">
        <f t="array" ref="J15">INDEX(Q:Q,MATCH(1, (W:W=E15)*(V:V&gt;=C15-L15)*(V:V&lt;=C15+L15), 0))</f>
        <v>ECU26</v>
      </c>
      <c r="K15" s="22">
        <f t="shared" si="5"/>
        <v>46279</v>
      </c>
      <c r="L15" s="1">
        <v>10</v>
      </c>
      <c r="M15" s="1">
        <f t="shared" si="6"/>
        <v>-3</v>
      </c>
      <c r="N15" s="19" t="s">
        <v>543</v>
      </c>
      <c r="Q15" s="18" t="s">
        <v>99</v>
      </c>
      <c r="R15" s="2">
        <v>41969</v>
      </c>
      <c r="S15" s="2">
        <v>46475</v>
      </c>
      <c r="T15" s="2">
        <v>46475</v>
      </c>
      <c r="U15" s="37" t="s">
        <v>422</v>
      </c>
      <c r="V15" s="2">
        <f t="shared" si="8"/>
        <v>46475</v>
      </c>
      <c r="W15" t="str">
        <f t="shared" si="9"/>
        <v>NG</v>
      </c>
      <c r="X15" s="35" t="str">
        <f t="shared" si="7"/>
        <v>NYMEX</v>
      </c>
      <c r="Z15" t="s">
        <v>544</v>
      </c>
      <c r="AC15" t="s">
        <v>568</v>
      </c>
      <c r="AD15" t="s">
        <v>569</v>
      </c>
    </row>
    <row r="16" spans="1:30" x14ac:dyDescent="0.2">
      <c r="A16" s="18" t="s">
        <v>70</v>
      </c>
      <c r="B16" s="1" t="s">
        <v>71</v>
      </c>
      <c r="C16" s="22">
        <v>46373</v>
      </c>
      <c r="D16" s="1" t="str">
        <f t="shared" si="0"/>
        <v>ED</v>
      </c>
      <c r="E16" s="23" t="s">
        <v>502</v>
      </c>
      <c r="F16" s="13" t="str">
        <f t="shared" si="1"/>
        <v>RUS:EDZ2026-CME:6EZ2026</v>
      </c>
      <c r="G16" s="22">
        <f t="shared" si="2"/>
        <v>46370</v>
      </c>
      <c r="H16" s="1" t="str">
        <f t="shared" si="3"/>
        <v>ED-12.26</v>
      </c>
      <c r="I16" s="23" t="str">
        <f t="shared" si="10"/>
        <v>QR_6EZ6</v>
      </c>
      <c r="J16" s="1" t="str" cm="1">
        <f t="array" ref="J16">INDEX(Q:Q,MATCH(1, (W:W=E16)*(V:V&gt;=C16-L16)*(V:V&lt;=C16+L16), 0))</f>
        <v>ECZ26</v>
      </c>
      <c r="K16" s="22">
        <f t="shared" si="5"/>
        <v>46370</v>
      </c>
      <c r="L16" s="1">
        <v>10</v>
      </c>
      <c r="M16" s="1">
        <f t="shared" si="6"/>
        <v>-3</v>
      </c>
      <c r="N16" s="19" t="s">
        <v>543</v>
      </c>
      <c r="Q16" s="18" t="s">
        <v>100</v>
      </c>
      <c r="R16" s="2">
        <v>41969</v>
      </c>
      <c r="S16" s="2">
        <v>46505</v>
      </c>
      <c r="T16" s="2">
        <v>46505</v>
      </c>
      <c r="U16" s="37" t="s">
        <v>422</v>
      </c>
      <c r="V16" s="2">
        <f t="shared" si="8"/>
        <v>46505</v>
      </c>
      <c r="W16" t="str">
        <f t="shared" si="9"/>
        <v>NG</v>
      </c>
      <c r="X16" s="35" t="str">
        <f t="shared" si="7"/>
        <v>NYMEX</v>
      </c>
      <c r="Z16" t="s">
        <v>545</v>
      </c>
    </row>
    <row r="17" spans="1:26" x14ac:dyDescent="0.2">
      <c r="A17" s="18" t="s">
        <v>4</v>
      </c>
      <c r="B17" s="1" t="s">
        <v>5</v>
      </c>
      <c r="C17" s="22">
        <v>46101</v>
      </c>
      <c r="D17" s="1" t="str">
        <f t="shared" si="0"/>
        <v>GOLD</v>
      </c>
      <c r="E17" s="23" t="s">
        <v>505</v>
      </c>
      <c r="F17" s="13" t="str">
        <f t="shared" si="1"/>
        <v>RUS:GDH2026-COMEX:GCJ2026</v>
      </c>
      <c r="G17" s="22">
        <f t="shared" si="2"/>
        <v>46101</v>
      </c>
      <c r="H17" s="1" t="str">
        <f t="shared" si="3"/>
        <v>GOLD-3.26</v>
      </c>
      <c r="I17" s="23" t="str">
        <f t="shared" si="10"/>
        <v>QR_GCJ6</v>
      </c>
      <c r="J17" s="1" t="str" cm="1">
        <f t="array" ref="J17">INDEX(Q:Q,MATCH(1, (W:W=E17)*(V:V&gt;=C17-L17)*(V:V&lt;=C17+L17), 0))</f>
        <v>GCJ26</v>
      </c>
      <c r="K17" s="22">
        <f t="shared" si="5"/>
        <v>46112</v>
      </c>
      <c r="L17" s="1">
        <v>15</v>
      </c>
      <c r="M17" s="1">
        <f t="shared" si="6"/>
        <v>11</v>
      </c>
      <c r="Q17" s="18" t="s">
        <v>101</v>
      </c>
      <c r="R17" s="2">
        <v>41969</v>
      </c>
      <c r="S17" s="2">
        <v>46533</v>
      </c>
      <c r="T17" s="2">
        <v>46533</v>
      </c>
      <c r="U17" s="37" t="s">
        <v>422</v>
      </c>
      <c r="V17" s="2">
        <f t="shared" si="8"/>
        <v>46533</v>
      </c>
      <c r="W17" t="str">
        <f t="shared" si="9"/>
        <v>NG</v>
      </c>
      <c r="X17" s="35" t="str">
        <f t="shared" si="7"/>
        <v>NYMEX</v>
      </c>
    </row>
    <row r="18" spans="1:26" x14ac:dyDescent="0.2">
      <c r="A18" s="18" t="s">
        <v>34</v>
      </c>
      <c r="B18" s="1" t="s">
        <v>35</v>
      </c>
      <c r="C18" s="22">
        <v>46192</v>
      </c>
      <c r="D18" s="1" t="str">
        <f t="shared" si="0"/>
        <v>GOLD</v>
      </c>
      <c r="E18" s="23" t="s">
        <v>505</v>
      </c>
      <c r="F18" s="13" t="str">
        <f t="shared" si="1"/>
        <v>RUS:GDM2026-COMEX:GCN2026</v>
      </c>
      <c r="G18" s="22">
        <f t="shared" si="2"/>
        <v>46192</v>
      </c>
      <c r="H18" s="1" t="str">
        <f t="shared" si="3"/>
        <v>GOLD-6.26</v>
      </c>
      <c r="I18" s="23" t="str">
        <f t="shared" si="10"/>
        <v>QR_GCN6</v>
      </c>
      <c r="J18" s="1" t="str" cm="1">
        <f t="array" ref="J18">INDEX(Q:Q,MATCH(1, (W:W=E18)*(V:V&gt;=C18-L18)*(V:V&lt;=C18+L18), 0))</f>
        <v>GCN26</v>
      </c>
      <c r="K18" s="22">
        <f t="shared" si="5"/>
        <v>46203</v>
      </c>
      <c r="L18" s="1">
        <v>15</v>
      </c>
      <c r="M18" s="1">
        <f t="shared" si="6"/>
        <v>11</v>
      </c>
      <c r="Q18" s="18" t="s">
        <v>102</v>
      </c>
      <c r="R18" s="2">
        <v>41969</v>
      </c>
      <c r="S18" s="2">
        <v>46566</v>
      </c>
      <c r="T18" s="2">
        <v>46566</v>
      </c>
      <c r="U18" s="37" t="s">
        <v>422</v>
      </c>
      <c r="V18" s="2">
        <f t="shared" si="8"/>
        <v>46566</v>
      </c>
      <c r="W18" t="str">
        <f t="shared" si="9"/>
        <v>NG</v>
      </c>
      <c r="X18" s="35" t="str">
        <f t="shared" si="7"/>
        <v>NYMEX</v>
      </c>
    </row>
    <row r="19" spans="1:26" x14ac:dyDescent="0.2">
      <c r="A19" s="18" t="s">
        <v>58</v>
      </c>
      <c r="B19" s="1" t="s">
        <v>59</v>
      </c>
      <c r="C19" s="22">
        <v>46283</v>
      </c>
      <c r="D19" s="1" t="str">
        <f t="shared" si="0"/>
        <v>GOLD</v>
      </c>
      <c r="E19" s="23" t="s">
        <v>505</v>
      </c>
      <c r="F19" s="13" t="str">
        <f t="shared" si="1"/>
        <v>RUS:GDU2026-COMEX:GCV2026</v>
      </c>
      <c r="G19" s="22">
        <f t="shared" si="2"/>
        <v>46283</v>
      </c>
      <c r="H19" s="1" t="str">
        <f t="shared" si="3"/>
        <v>GOLD-9.26</v>
      </c>
      <c r="I19" s="23" t="str">
        <f t="shared" si="10"/>
        <v>QR_GCV6</v>
      </c>
      <c r="J19" s="1" t="str" cm="1">
        <f t="array" ref="J19">INDEX(Q:Q,MATCH(1, (W:W=E19)*(V:V&gt;=C19-L19)*(V:V&lt;=C19+L19), 0))</f>
        <v>GCV26</v>
      </c>
      <c r="K19" s="22">
        <f t="shared" si="5"/>
        <v>46295</v>
      </c>
      <c r="L19" s="1">
        <v>15</v>
      </c>
      <c r="M19" s="1">
        <f t="shared" si="6"/>
        <v>12</v>
      </c>
      <c r="Q19" s="18" t="s">
        <v>103</v>
      </c>
      <c r="R19" s="2">
        <v>41969</v>
      </c>
      <c r="S19" s="2">
        <v>46596</v>
      </c>
      <c r="T19" s="2">
        <v>46596</v>
      </c>
      <c r="U19" s="37" t="s">
        <v>422</v>
      </c>
      <c r="V19" s="2">
        <f t="shared" si="8"/>
        <v>46596</v>
      </c>
      <c r="W19" t="str">
        <f t="shared" si="9"/>
        <v>NG</v>
      </c>
      <c r="X19" s="35" t="str">
        <f t="shared" si="7"/>
        <v>NYMEX</v>
      </c>
      <c r="Z19" t="s">
        <v>546</v>
      </c>
    </row>
    <row r="20" spans="1:26" x14ac:dyDescent="0.2">
      <c r="A20" s="18" t="s">
        <v>74</v>
      </c>
      <c r="B20" s="1" t="s">
        <v>75</v>
      </c>
      <c r="C20" s="22">
        <v>46374</v>
      </c>
      <c r="D20" s="1" t="str">
        <f t="shared" si="0"/>
        <v>GOLD</v>
      </c>
      <c r="E20" s="23" t="s">
        <v>505</v>
      </c>
      <c r="F20" s="13" t="str">
        <f t="shared" si="1"/>
        <v>RUS:GDZ2026-COMEX:GCF2027</v>
      </c>
      <c r="G20" s="22">
        <f t="shared" si="2"/>
        <v>46374</v>
      </c>
      <c r="H20" s="1" t="str">
        <f t="shared" si="3"/>
        <v>GOLD-12.26</v>
      </c>
      <c r="I20" s="23" t="str">
        <f t="shared" si="10"/>
        <v>QR_GCF7</v>
      </c>
      <c r="J20" s="1" t="str" cm="1">
        <f t="array" ref="J20">INDEX(Q:Q,MATCH(1, (W:W=E20)*(V:V&gt;=C20-L20)*(V:V&lt;=C20+L20), 0))</f>
        <v>GCF27</v>
      </c>
      <c r="K20" s="22">
        <f t="shared" si="5"/>
        <v>46387</v>
      </c>
      <c r="L20" s="1">
        <v>15</v>
      </c>
      <c r="M20" s="1">
        <f t="shared" si="6"/>
        <v>13</v>
      </c>
      <c r="Q20" s="18" t="s">
        <v>104</v>
      </c>
      <c r="R20" s="2">
        <v>41969</v>
      </c>
      <c r="S20" s="2">
        <v>46626</v>
      </c>
      <c r="T20" s="2">
        <v>46626</v>
      </c>
      <c r="U20" s="37" t="s">
        <v>422</v>
      </c>
      <c r="V20" s="2">
        <f t="shared" si="8"/>
        <v>46626</v>
      </c>
      <c r="W20" t="str">
        <f t="shared" si="9"/>
        <v>NG</v>
      </c>
      <c r="X20" s="35" t="str">
        <f t="shared" si="7"/>
        <v>NYMEX</v>
      </c>
    </row>
    <row r="21" spans="1:26" x14ac:dyDescent="0.2">
      <c r="A21" s="18" t="s">
        <v>12</v>
      </c>
      <c r="B21" s="1" t="s">
        <v>13</v>
      </c>
      <c r="C21" s="22">
        <v>46108</v>
      </c>
      <c r="D21" s="1" t="str">
        <f t="shared" si="0"/>
        <v>NG</v>
      </c>
      <c r="E21" s="23" t="s">
        <v>506</v>
      </c>
      <c r="F21" s="13" t="str">
        <f t="shared" si="1"/>
        <v>RUS:NGH2026-NYMEX:NGJ2026</v>
      </c>
      <c r="G21" s="22">
        <f t="shared" si="2"/>
        <v>46108</v>
      </c>
      <c r="H21" s="1" t="str">
        <f t="shared" si="3"/>
        <v>NG-3.26</v>
      </c>
      <c r="I21" s="23" t="str">
        <f t="shared" si="10"/>
        <v>QR_NGJ6</v>
      </c>
      <c r="J21" s="1" t="str" cm="1">
        <f t="array" ref="J21">INDEX(Q:Q,MATCH(1, (W:W=E21)*(V:V&gt;=C21-L21)*(V:V&lt;=C21+L21), 0))</f>
        <v>NGJ26</v>
      </c>
      <c r="K21" s="22">
        <f t="shared" si="5"/>
        <v>46108</v>
      </c>
      <c r="L21" s="1">
        <v>3</v>
      </c>
      <c r="M21" s="1">
        <f t="shared" si="6"/>
        <v>0</v>
      </c>
      <c r="Q21" s="18" t="s">
        <v>105</v>
      </c>
      <c r="R21" s="2">
        <v>41969</v>
      </c>
      <c r="S21" s="2">
        <v>46658</v>
      </c>
      <c r="T21" s="2">
        <v>46658</v>
      </c>
      <c r="U21" s="37" t="s">
        <v>422</v>
      </c>
      <c r="V21" s="2">
        <f t="shared" si="8"/>
        <v>46658</v>
      </c>
      <c r="W21" t="str">
        <f t="shared" si="9"/>
        <v>NG</v>
      </c>
      <c r="X21" s="35" t="str">
        <f t="shared" si="7"/>
        <v>NYMEX</v>
      </c>
    </row>
    <row r="22" spans="1:26" x14ac:dyDescent="0.2">
      <c r="A22" s="18" t="s">
        <v>20</v>
      </c>
      <c r="B22" s="1" t="s">
        <v>21</v>
      </c>
      <c r="C22" s="22">
        <v>46140</v>
      </c>
      <c r="D22" s="1" t="str">
        <f t="shared" si="0"/>
        <v>NG</v>
      </c>
      <c r="E22" s="23" t="s">
        <v>506</v>
      </c>
      <c r="F22" s="13" t="str">
        <f t="shared" si="1"/>
        <v>RUS:NGJ2026-NYMEX:NGK2026</v>
      </c>
      <c r="G22" s="22">
        <f t="shared" si="2"/>
        <v>46140</v>
      </c>
      <c r="H22" s="1" t="str">
        <f t="shared" si="3"/>
        <v>NG-4.26</v>
      </c>
      <c r="I22" s="23" t="str">
        <f t="shared" si="10"/>
        <v>QR_NGK6</v>
      </c>
      <c r="J22" s="1" t="str" cm="1">
        <f t="array" ref="J22">INDEX(Q:Q,MATCH(1, (W:W=E22)*(V:V&gt;=C22-L22)*(V:V&lt;=C22+L22), 0))</f>
        <v>NGK26</v>
      </c>
      <c r="K22" s="22">
        <f t="shared" si="5"/>
        <v>46140</v>
      </c>
      <c r="L22" s="1">
        <v>3</v>
      </c>
      <c r="M22" s="1">
        <f t="shared" si="6"/>
        <v>0</v>
      </c>
      <c r="Q22" s="18" t="s">
        <v>106</v>
      </c>
      <c r="R22" s="2">
        <v>41969</v>
      </c>
      <c r="S22" s="2">
        <v>46687</v>
      </c>
      <c r="T22" s="2">
        <v>46687</v>
      </c>
      <c r="U22" s="37" t="s">
        <v>422</v>
      </c>
      <c r="V22" s="2">
        <f t="shared" si="8"/>
        <v>46687</v>
      </c>
      <c r="W22" t="str">
        <f t="shared" si="9"/>
        <v>NG</v>
      </c>
      <c r="X22" s="35" t="str">
        <f t="shared" si="7"/>
        <v>NYMEX</v>
      </c>
    </row>
    <row r="23" spans="1:26" x14ac:dyDescent="0.2">
      <c r="A23" s="18" t="s">
        <v>24</v>
      </c>
      <c r="B23" s="1" t="s">
        <v>25</v>
      </c>
      <c r="C23" s="22">
        <v>46169</v>
      </c>
      <c r="D23" s="1" t="str">
        <f t="shared" si="0"/>
        <v>NG</v>
      </c>
      <c r="E23" s="23" t="s">
        <v>506</v>
      </c>
      <c r="F23" s="13" t="str">
        <f t="shared" si="1"/>
        <v>RUS:NGK2026-NYMEX:NGM2026</v>
      </c>
      <c r="G23" s="22">
        <f t="shared" si="2"/>
        <v>46169</v>
      </c>
      <c r="H23" s="1" t="str">
        <f t="shared" si="3"/>
        <v>NG-5.26</v>
      </c>
      <c r="I23" s="23" t="str">
        <f t="shared" si="10"/>
        <v>QR_NGM6</v>
      </c>
      <c r="J23" s="1" t="str" cm="1">
        <f t="array" ref="J23">INDEX(Q:Q,MATCH(1, (W:W=E23)*(V:V&gt;=C23-L23)*(V:V&lt;=C23+L23), 0))</f>
        <v>NGM26</v>
      </c>
      <c r="K23" s="22">
        <f t="shared" si="5"/>
        <v>46169</v>
      </c>
      <c r="L23" s="1">
        <v>3</v>
      </c>
      <c r="M23" s="1">
        <f t="shared" si="6"/>
        <v>0</v>
      </c>
      <c r="Q23" s="18" t="s">
        <v>107</v>
      </c>
      <c r="R23" s="2">
        <v>41969</v>
      </c>
      <c r="S23" s="2">
        <v>46717</v>
      </c>
      <c r="T23" s="2">
        <v>46717</v>
      </c>
      <c r="U23" s="37" t="s">
        <v>422</v>
      </c>
      <c r="V23" s="2">
        <f t="shared" si="8"/>
        <v>46717</v>
      </c>
      <c r="W23" t="str">
        <f t="shared" si="9"/>
        <v>NG</v>
      </c>
      <c r="X23" s="35" t="str">
        <f t="shared" si="7"/>
        <v>NYMEX</v>
      </c>
      <c r="Z23" t="s">
        <v>588</v>
      </c>
    </row>
    <row r="24" spans="1:26" x14ac:dyDescent="0.2">
      <c r="A24" s="18" t="s">
        <v>42</v>
      </c>
      <c r="B24" s="1" t="s">
        <v>43</v>
      </c>
      <c r="C24" s="22">
        <v>46199</v>
      </c>
      <c r="D24" s="1" t="str">
        <f t="shared" si="0"/>
        <v>NG</v>
      </c>
      <c r="E24" s="23" t="s">
        <v>506</v>
      </c>
      <c r="F24" s="13" t="str">
        <f t="shared" si="1"/>
        <v>RUS:NGM2026-NYMEX:NGN2026</v>
      </c>
      <c r="G24" s="22">
        <f t="shared" si="2"/>
        <v>46199</v>
      </c>
      <c r="H24" s="1" t="str">
        <f t="shared" si="3"/>
        <v>NG-6.26</v>
      </c>
      <c r="I24" s="23" t="str">
        <f t="shared" si="10"/>
        <v>QR_NGN6</v>
      </c>
      <c r="J24" s="1" t="str" cm="1">
        <f t="array" ref="J24">INDEX(Q:Q,MATCH(1, (W:W=E24)*(V:V&gt;=C24-L24)*(V:V&lt;=C24+L24), 0))</f>
        <v>NGN26</v>
      </c>
      <c r="K24" s="22">
        <f t="shared" si="5"/>
        <v>46199</v>
      </c>
      <c r="L24" s="1">
        <v>3</v>
      </c>
      <c r="M24" s="1">
        <f t="shared" si="6"/>
        <v>0</v>
      </c>
      <c r="Q24" s="18" t="s">
        <v>108</v>
      </c>
      <c r="R24" s="2">
        <v>42335</v>
      </c>
      <c r="S24" s="2">
        <v>46750</v>
      </c>
      <c r="T24" s="2">
        <v>46750</v>
      </c>
      <c r="U24" s="37" t="s">
        <v>422</v>
      </c>
      <c r="V24" s="2">
        <f t="shared" si="8"/>
        <v>46750</v>
      </c>
      <c r="W24" t="str">
        <f t="shared" si="9"/>
        <v>NG</v>
      </c>
      <c r="X24" s="35" t="str">
        <f t="shared" si="7"/>
        <v>NYMEX</v>
      </c>
      <c r="Z24" t="s">
        <v>589</v>
      </c>
    </row>
    <row r="25" spans="1:26" x14ac:dyDescent="0.2">
      <c r="A25" s="18" t="s">
        <v>46</v>
      </c>
      <c r="B25" s="1" t="s">
        <v>47</v>
      </c>
      <c r="C25" s="22">
        <v>46232</v>
      </c>
      <c r="D25" s="1" t="str">
        <f t="shared" si="0"/>
        <v>NG</v>
      </c>
      <c r="E25" s="23" t="s">
        <v>506</v>
      </c>
      <c r="F25" s="13" t="str">
        <f t="shared" si="1"/>
        <v>RUS:NGN2026-NYMEX:NGQ2026</v>
      </c>
      <c r="G25" s="22">
        <f t="shared" si="2"/>
        <v>46232</v>
      </c>
      <c r="H25" s="1" t="str">
        <f t="shared" si="3"/>
        <v>NG-7.26</v>
      </c>
      <c r="I25" s="23" t="str">
        <f t="shared" si="10"/>
        <v>QR_NGQ6</v>
      </c>
      <c r="J25" s="1" t="str" cm="1">
        <f t="array" ref="J25">INDEX(Q:Q,MATCH(1, (W:W=E25)*(V:V&gt;=C25-L25)*(V:V&lt;=C25+L25), 0))</f>
        <v>NGQ26</v>
      </c>
      <c r="K25" s="22">
        <f t="shared" si="5"/>
        <v>46232</v>
      </c>
      <c r="L25" s="1">
        <v>3</v>
      </c>
      <c r="M25" s="1">
        <f t="shared" si="6"/>
        <v>0</v>
      </c>
      <c r="Q25" s="18" t="s">
        <v>109</v>
      </c>
      <c r="R25" s="2">
        <v>42335</v>
      </c>
      <c r="S25" s="2">
        <v>46779</v>
      </c>
      <c r="T25" s="2">
        <v>46779</v>
      </c>
      <c r="U25" s="37" t="s">
        <v>422</v>
      </c>
      <c r="V25" s="2">
        <f t="shared" si="8"/>
        <v>46779</v>
      </c>
      <c r="W25" t="str">
        <f t="shared" si="9"/>
        <v>NG</v>
      </c>
      <c r="X25" s="35" t="str">
        <f t="shared" si="7"/>
        <v>NYMEX</v>
      </c>
    </row>
    <row r="26" spans="1:26" x14ac:dyDescent="0.2">
      <c r="A26" s="18" t="s">
        <v>50</v>
      </c>
      <c r="B26" s="1" t="s">
        <v>51</v>
      </c>
      <c r="C26" s="22">
        <v>46261</v>
      </c>
      <c r="D26" s="1" t="str">
        <f t="shared" si="0"/>
        <v>NG</v>
      </c>
      <c r="E26" s="23" t="s">
        <v>506</v>
      </c>
      <c r="F26" s="13" t="str">
        <f t="shared" si="1"/>
        <v>RUS:NGQ2026-NYMEX:NGU2026</v>
      </c>
      <c r="G26" s="22">
        <f t="shared" si="2"/>
        <v>46261</v>
      </c>
      <c r="H26" s="1" t="str">
        <f t="shared" si="3"/>
        <v>NG-8.26</v>
      </c>
      <c r="I26" s="23" t="str">
        <f t="shared" si="10"/>
        <v>QR_NGU6</v>
      </c>
      <c r="J26" s="1" t="str" cm="1">
        <f t="array" ref="J26">INDEX(Q:Q,MATCH(1, (W:W=E26)*(V:V&gt;=C26-L26)*(V:V&lt;=C26+L26), 0))</f>
        <v>NGU26</v>
      </c>
      <c r="K26" s="22">
        <f t="shared" si="5"/>
        <v>46261</v>
      </c>
      <c r="L26" s="1">
        <v>3</v>
      </c>
      <c r="M26" s="1">
        <f t="shared" si="6"/>
        <v>0</v>
      </c>
      <c r="Q26" s="18" t="s">
        <v>110</v>
      </c>
      <c r="R26" s="2">
        <v>42335</v>
      </c>
      <c r="S26" s="2">
        <v>46808</v>
      </c>
      <c r="T26" s="2">
        <v>46808</v>
      </c>
      <c r="U26" s="37" t="s">
        <v>422</v>
      </c>
      <c r="V26" s="2">
        <f t="shared" si="8"/>
        <v>46808</v>
      </c>
      <c r="W26" t="str">
        <f t="shared" si="9"/>
        <v>NG</v>
      </c>
      <c r="X26" s="35" t="str">
        <f t="shared" si="7"/>
        <v>NYMEX</v>
      </c>
    </row>
    <row r="27" spans="1:26" x14ac:dyDescent="0.2">
      <c r="A27" s="18" t="s">
        <v>66</v>
      </c>
      <c r="B27" s="1" t="s">
        <v>67</v>
      </c>
      <c r="C27" s="22">
        <v>46293</v>
      </c>
      <c r="D27" s="1" t="str">
        <f t="shared" si="0"/>
        <v>NG</v>
      </c>
      <c r="E27" s="23" t="s">
        <v>506</v>
      </c>
      <c r="F27" s="13" t="str">
        <f t="shared" si="1"/>
        <v>RUS:NGU2026-NYMEX:NGV2026</v>
      </c>
      <c r="G27" s="22">
        <f t="shared" si="2"/>
        <v>46293</v>
      </c>
      <c r="H27" s="1" t="str">
        <f t="shared" si="3"/>
        <v>NG-9.26</v>
      </c>
      <c r="I27" s="23" t="str">
        <f t="shared" si="10"/>
        <v>QR_NGV6</v>
      </c>
      <c r="J27" s="1" t="str" cm="1">
        <f t="array" ref="J27">INDEX(Q:Q,MATCH(1, (W:W=E27)*(V:V&gt;=C27-L27)*(V:V&lt;=C27+L27), 0))</f>
        <v>NGV26</v>
      </c>
      <c r="K27" s="22">
        <f t="shared" si="5"/>
        <v>46293</v>
      </c>
      <c r="L27" s="1">
        <v>3</v>
      </c>
      <c r="M27" s="1">
        <f t="shared" si="6"/>
        <v>0</v>
      </c>
      <c r="Q27" s="18" t="s">
        <v>111</v>
      </c>
      <c r="R27" s="2">
        <v>42335</v>
      </c>
      <c r="S27" s="2">
        <v>46841</v>
      </c>
      <c r="T27" s="2">
        <v>46841</v>
      </c>
      <c r="U27" s="37" t="s">
        <v>422</v>
      </c>
      <c r="V27" s="2">
        <f t="shared" si="8"/>
        <v>46841</v>
      </c>
      <c r="W27" t="str">
        <f t="shared" si="9"/>
        <v>NG</v>
      </c>
      <c r="X27" s="35" t="str">
        <f t="shared" si="7"/>
        <v>NYMEX</v>
      </c>
    </row>
    <row r="28" spans="1:26" x14ac:dyDescent="0.2">
      <c r="A28" s="18" t="s">
        <v>10</v>
      </c>
      <c r="B28" s="1" t="s">
        <v>11</v>
      </c>
      <c r="C28" s="22">
        <v>46101</v>
      </c>
      <c r="D28" s="1" t="str">
        <f t="shared" si="0"/>
        <v>PLD</v>
      </c>
      <c r="E28" s="23" t="s">
        <v>507</v>
      </c>
      <c r="F28" s="13" t="str">
        <f t="shared" si="1"/>
        <v>RUS:PDH2026-NYMEX:PAJ2026</v>
      </c>
      <c r="G28" s="22">
        <f t="shared" si="2"/>
        <v>46101</v>
      </c>
      <c r="H28" s="1" t="str">
        <f t="shared" si="3"/>
        <v>PLD-3.26</v>
      </c>
      <c r="I28" s="23" t="str">
        <f t="shared" si="10"/>
        <v>QR_PAJ6</v>
      </c>
      <c r="J28" s="1" t="str" cm="1">
        <f t="array" ref="J28">INDEX(Q:Q,MATCH(1, (W:W=E28)*(V:V&gt;=C28-L28)*(V:V&lt;=C28+L28), 0))</f>
        <v>PAJ26</v>
      </c>
      <c r="K28" s="22">
        <f t="shared" si="5"/>
        <v>46112</v>
      </c>
      <c r="L28" s="1">
        <v>15</v>
      </c>
      <c r="M28" s="1">
        <f t="shared" si="6"/>
        <v>11</v>
      </c>
      <c r="Q28" s="18" t="s">
        <v>112</v>
      </c>
      <c r="R28" s="2">
        <v>42335</v>
      </c>
      <c r="S28" s="2">
        <v>46869</v>
      </c>
      <c r="T28" s="2">
        <v>46869</v>
      </c>
      <c r="U28" s="37" t="s">
        <v>422</v>
      </c>
      <c r="V28" s="2">
        <f t="shared" si="8"/>
        <v>46869</v>
      </c>
      <c r="W28" t="str">
        <f t="shared" si="9"/>
        <v>NG</v>
      </c>
      <c r="X28" s="35" t="str">
        <f t="shared" si="7"/>
        <v>NYMEX</v>
      </c>
    </row>
    <row r="29" spans="1:26" x14ac:dyDescent="0.2">
      <c r="A29" s="18" t="s">
        <v>40</v>
      </c>
      <c r="B29" s="1" t="s">
        <v>41</v>
      </c>
      <c r="C29" s="22">
        <v>46192</v>
      </c>
      <c r="D29" s="1" t="str">
        <f t="shared" si="0"/>
        <v>PLD</v>
      </c>
      <c r="E29" s="23" t="s">
        <v>507</v>
      </c>
      <c r="F29" s="13" t="str">
        <f t="shared" si="1"/>
        <v>RUS:PDM2026-NYMEX:PAM2026</v>
      </c>
      <c r="G29" s="22">
        <f t="shared" si="2"/>
        <v>46171</v>
      </c>
      <c r="H29" s="1" t="str">
        <f t="shared" si="3"/>
        <v>PLD-6.26</v>
      </c>
      <c r="I29" s="23" t="str">
        <f t="shared" si="10"/>
        <v>QR_PAM6</v>
      </c>
      <c r="J29" s="1" t="str" cm="1">
        <f t="array" ref="J29">INDEX(Q:Q,MATCH(1, (W:W=E29)*(V:V&gt;=C29-L29)*(V:V&lt;=C29+L29), 0))</f>
        <v>PAM26</v>
      </c>
      <c r="K29" s="22">
        <f t="shared" si="5"/>
        <v>46171</v>
      </c>
      <c r="L29" s="1">
        <v>30</v>
      </c>
      <c r="M29" s="1">
        <f t="shared" si="6"/>
        <v>-21</v>
      </c>
      <c r="Q29" s="18" t="s">
        <v>113</v>
      </c>
      <c r="R29" s="2">
        <v>42335</v>
      </c>
      <c r="S29" s="2">
        <v>46899</v>
      </c>
      <c r="T29" s="2">
        <v>46899</v>
      </c>
      <c r="U29" s="37" t="s">
        <v>422</v>
      </c>
      <c r="V29" s="2">
        <f t="shared" si="8"/>
        <v>46899</v>
      </c>
      <c r="W29" t="str">
        <f t="shared" si="9"/>
        <v>NG</v>
      </c>
      <c r="X29" s="35" t="str">
        <f t="shared" si="7"/>
        <v>NYMEX</v>
      </c>
    </row>
    <row r="30" spans="1:26" x14ac:dyDescent="0.2">
      <c r="A30" s="18" t="s">
        <v>64</v>
      </c>
      <c r="B30" s="1" t="s">
        <v>65</v>
      </c>
      <c r="C30" s="22">
        <v>46283</v>
      </c>
      <c r="D30" s="1" t="str">
        <f t="shared" si="0"/>
        <v>PLD</v>
      </c>
      <c r="E30" s="23" t="s">
        <v>507</v>
      </c>
      <c r="F30" s="13" t="str">
        <f t="shared" si="1"/>
        <v>RUS:PDU2026-NYMEX:PAU2026</v>
      </c>
      <c r="G30" s="22">
        <f t="shared" si="2"/>
        <v>46265</v>
      </c>
      <c r="H30" s="1" t="str">
        <f t="shared" si="3"/>
        <v>PLD-9.26</v>
      </c>
      <c r="I30" s="23" t="str">
        <f t="shared" si="10"/>
        <v>QR_PAU6</v>
      </c>
      <c r="J30" s="1" t="str" cm="1">
        <f t="array" ref="J30">INDEX(Q:Q,MATCH(1, (W:W=E30)*(V:V&gt;=C30-L30)*(V:V&lt;=C30+L30), 0))</f>
        <v>PAU26</v>
      </c>
      <c r="K30" s="22">
        <f t="shared" si="5"/>
        <v>46265</v>
      </c>
      <c r="L30" s="1">
        <v>30</v>
      </c>
      <c r="M30" s="1">
        <f t="shared" si="6"/>
        <v>-18</v>
      </c>
      <c r="Q30" s="18" t="s">
        <v>114</v>
      </c>
      <c r="R30" s="2">
        <v>42335</v>
      </c>
      <c r="S30" s="2">
        <v>46932</v>
      </c>
      <c r="T30" s="2">
        <v>46932</v>
      </c>
      <c r="U30" s="37" t="s">
        <v>422</v>
      </c>
      <c r="V30" s="2">
        <f t="shared" si="8"/>
        <v>46932</v>
      </c>
      <c r="W30" t="str">
        <f t="shared" si="9"/>
        <v>NG</v>
      </c>
      <c r="X30" s="35" t="str">
        <f t="shared" si="7"/>
        <v>NYMEX</v>
      </c>
    </row>
    <row r="31" spans="1:26" x14ac:dyDescent="0.2">
      <c r="A31" s="18" t="s">
        <v>80</v>
      </c>
      <c r="B31" s="1" t="s">
        <v>81</v>
      </c>
      <c r="C31" s="22">
        <v>46374</v>
      </c>
      <c r="D31" s="1" t="str">
        <f t="shared" si="0"/>
        <v>PLD</v>
      </c>
      <c r="E31" s="23" t="s">
        <v>507</v>
      </c>
      <c r="F31" s="13" t="str">
        <f t="shared" si="1"/>
        <v>RUS:PDZ2026-NYMEX:PAZ2026</v>
      </c>
      <c r="G31" s="22">
        <f t="shared" si="2"/>
        <v>46356</v>
      </c>
      <c r="H31" s="1" t="str">
        <f t="shared" si="3"/>
        <v>PLD-12.26</v>
      </c>
      <c r="I31" s="23" t="str">
        <f t="shared" si="10"/>
        <v>QR_PAZ6</v>
      </c>
      <c r="J31" s="1" t="str" cm="1">
        <f t="array" ref="J31">INDEX(Q:Q,MATCH(1, (W:W=E31)*(V:V&gt;=C31-L31)*(V:V&lt;=C31+L31), 0))</f>
        <v>PAZ26</v>
      </c>
      <c r="K31" s="22">
        <f t="shared" si="5"/>
        <v>46356</v>
      </c>
      <c r="L31" s="1">
        <v>30</v>
      </c>
      <c r="M31" s="1">
        <f t="shared" si="6"/>
        <v>-18</v>
      </c>
      <c r="Q31" s="18" t="s">
        <v>115</v>
      </c>
      <c r="R31" s="2">
        <v>42335</v>
      </c>
      <c r="S31" s="2">
        <v>46961</v>
      </c>
      <c r="T31" s="2">
        <v>46961</v>
      </c>
      <c r="U31" s="37" t="s">
        <v>422</v>
      </c>
      <c r="V31" s="2">
        <f t="shared" si="8"/>
        <v>46961</v>
      </c>
      <c r="W31" t="str">
        <f t="shared" si="9"/>
        <v>NG</v>
      </c>
      <c r="X31" s="35" t="str">
        <f t="shared" si="7"/>
        <v>NYMEX</v>
      </c>
    </row>
    <row r="32" spans="1:26" x14ac:dyDescent="0.2">
      <c r="A32" s="18" t="s">
        <v>8</v>
      </c>
      <c r="B32" s="1" t="s">
        <v>9</v>
      </c>
      <c r="C32" s="22">
        <v>46101</v>
      </c>
      <c r="D32" s="1" t="str">
        <f t="shared" si="0"/>
        <v>PLT</v>
      </c>
      <c r="E32" s="23" t="s">
        <v>509</v>
      </c>
      <c r="F32" s="13" t="str">
        <f t="shared" si="1"/>
        <v>RUS:PTH2026-NYMEX:PLJ2026</v>
      </c>
      <c r="G32" s="22">
        <f t="shared" si="2"/>
        <v>46101</v>
      </c>
      <c r="H32" s="1" t="str">
        <f t="shared" si="3"/>
        <v>PLT-3.26</v>
      </c>
      <c r="I32" s="23" t="str">
        <f t="shared" si="10"/>
        <v>QR_PLJ6</v>
      </c>
      <c r="J32" s="1" t="str" cm="1">
        <f t="array" ref="J32">INDEX(Q:Q,MATCH(1, (W:W=E32)*(V:V&gt;=C32-L32)*(V:V&lt;=C32+L32), 0))</f>
        <v>PLJ26</v>
      </c>
      <c r="K32" s="22">
        <f t="shared" si="5"/>
        <v>46112</v>
      </c>
      <c r="L32" s="1">
        <v>15</v>
      </c>
      <c r="M32" s="1">
        <f t="shared" si="6"/>
        <v>11</v>
      </c>
      <c r="Q32" s="18" t="s">
        <v>116</v>
      </c>
      <c r="R32" s="2">
        <v>42335</v>
      </c>
      <c r="S32" s="2">
        <v>46994</v>
      </c>
      <c r="T32" s="2">
        <v>46994</v>
      </c>
      <c r="U32" s="37" t="s">
        <v>422</v>
      </c>
      <c r="V32" s="2">
        <f t="shared" si="8"/>
        <v>46994</v>
      </c>
      <c r="W32" t="str">
        <f t="shared" si="9"/>
        <v>NG</v>
      </c>
      <c r="X32" s="35" t="str">
        <f t="shared" si="7"/>
        <v>NYMEX</v>
      </c>
    </row>
    <row r="33" spans="1:24" x14ac:dyDescent="0.2">
      <c r="A33" s="18" t="s">
        <v>38</v>
      </c>
      <c r="B33" s="1" t="s">
        <v>39</v>
      </c>
      <c r="C33" s="22">
        <v>46192</v>
      </c>
      <c r="D33" s="1" t="str">
        <f t="shared" si="0"/>
        <v>PLT</v>
      </c>
      <c r="E33" s="23" t="s">
        <v>509</v>
      </c>
      <c r="F33" s="13" t="str">
        <f t="shared" si="1"/>
        <v>RUS:PTM2026-NYMEX:PLN2026</v>
      </c>
      <c r="G33" s="22">
        <f t="shared" si="2"/>
        <v>46192</v>
      </c>
      <c r="H33" s="1" t="str">
        <f t="shared" si="3"/>
        <v>PLT-6.26</v>
      </c>
      <c r="I33" s="23" t="str">
        <f t="shared" si="10"/>
        <v>QR_PLN6</v>
      </c>
      <c r="J33" s="1" t="str" cm="1">
        <f t="array" ref="J33">INDEX(Q:Q,MATCH(1, (W:W=E33)*(V:V&gt;=C33-L33)*(V:V&lt;=C33+L33), 0))</f>
        <v>PLN26</v>
      </c>
      <c r="K33" s="22">
        <f t="shared" si="5"/>
        <v>46203</v>
      </c>
      <c r="L33" s="1">
        <v>15</v>
      </c>
      <c r="M33" s="1">
        <f t="shared" si="6"/>
        <v>11</v>
      </c>
      <c r="Q33" s="18" t="s">
        <v>117</v>
      </c>
      <c r="R33" s="2">
        <v>42335</v>
      </c>
      <c r="S33" s="2">
        <v>47023</v>
      </c>
      <c r="T33" s="2">
        <v>47023</v>
      </c>
      <c r="U33" s="37" t="s">
        <v>422</v>
      </c>
      <c r="V33" s="2">
        <f t="shared" si="8"/>
        <v>47023</v>
      </c>
      <c r="W33" t="str">
        <f t="shared" si="9"/>
        <v>NG</v>
      </c>
      <c r="X33" s="35" t="str">
        <f t="shared" si="7"/>
        <v>NYMEX</v>
      </c>
    </row>
    <row r="34" spans="1:24" x14ac:dyDescent="0.2">
      <c r="A34" s="18" t="s">
        <v>62</v>
      </c>
      <c r="B34" s="1" t="s">
        <v>63</v>
      </c>
      <c r="C34" s="22">
        <v>46283</v>
      </c>
      <c r="D34" s="1" t="str">
        <f t="shared" si="0"/>
        <v>PLT</v>
      </c>
      <c r="E34" s="23" t="s">
        <v>509</v>
      </c>
      <c r="F34" s="13" t="str">
        <f t="shared" si="1"/>
        <v>RUS:PTU2026-NYMEX:PLV2026</v>
      </c>
      <c r="G34" s="22">
        <f t="shared" si="2"/>
        <v>46283</v>
      </c>
      <c r="H34" s="1" t="str">
        <f t="shared" si="3"/>
        <v>PLT-9.26</v>
      </c>
      <c r="I34" s="23" t="str">
        <f t="shared" si="10"/>
        <v>QR_PLV6</v>
      </c>
      <c r="J34" s="1" t="str" cm="1">
        <f t="array" ref="J34">INDEX(Q:Q,MATCH(1, (W:W=E34)*(V:V&gt;=C34-L34)*(V:V&lt;=C34+L34), 0))</f>
        <v>PLV26</v>
      </c>
      <c r="K34" s="22">
        <f t="shared" si="5"/>
        <v>46295</v>
      </c>
      <c r="L34" s="1">
        <v>15</v>
      </c>
      <c r="M34" s="1">
        <f t="shared" si="6"/>
        <v>12</v>
      </c>
      <c r="Q34" s="18" t="s">
        <v>118</v>
      </c>
      <c r="R34" s="2">
        <v>42335</v>
      </c>
      <c r="S34" s="2">
        <v>47053</v>
      </c>
      <c r="T34" s="2">
        <v>47053</v>
      </c>
      <c r="U34" s="37" t="s">
        <v>422</v>
      </c>
      <c r="V34" s="2">
        <f t="shared" si="8"/>
        <v>47053</v>
      </c>
      <c r="W34" t="str">
        <f t="shared" si="9"/>
        <v>NG</v>
      </c>
      <c r="X34" s="35" t="str">
        <f t="shared" si="7"/>
        <v>NYMEX</v>
      </c>
    </row>
    <row r="35" spans="1:24" x14ac:dyDescent="0.2">
      <c r="A35" s="18" t="s">
        <v>78</v>
      </c>
      <c r="B35" s="1" t="s">
        <v>79</v>
      </c>
      <c r="C35" s="22">
        <v>46374</v>
      </c>
      <c r="D35" s="1" t="str">
        <f t="shared" si="0"/>
        <v>PLT</v>
      </c>
      <c r="E35" s="23" t="s">
        <v>509</v>
      </c>
      <c r="F35" s="13" t="str">
        <f t="shared" si="1"/>
        <v>RUS:PTZ2026-NYMEX:PLF2027</v>
      </c>
      <c r="G35" s="22">
        <f t="shared" si="2"/>
        <v>46374</v>
      </c>
      <c r="H35" s="1" t="str">
        <f t="shared" si="3"/>
        <v>PLT-12.26</v>
      </c>
      <c r="I35" s="23" t="str">
        <f t="shared" si="10"/>
        <v>QR_PLF7</v>
      </c>
      <c r="J35" s="1" t="str" cm="1">
        <f t="array" ref="J35">INDEX(Q:Q,MATCH(1, (W:W=E35)*(V:V&gt;=C35-L35)*(V:V&lt;=C35+L35), 0))</f>
        <v>PLF27</v>
      </c>
      <c r="K35" s="22">
        <f t="shared" si="5"/>
        <v>46387</v>
      </c>
      <c r="L35" s="1">
        <v>15</v>
      </c>
      <c r="M35" s="1">
        <f t="shared" si="6"/>
        <v>13</v>
      </c>
      <c r="Q35" s="18" t="s">
        <v>119</v>
      </c>
      <c r="R35" s="2">
        <v>42335</v>
      </c>
      <c r="S35" s="2">
        <v>47085</v>
      </c>
      <c r="T35" s="2">
        <v>47085</v>
      </c>
      <c r="U35" s="37" t="s">
        <v>422</v>
      </c>
      <c r="V35" s="2">
        <f t="shared" si="8"/>
        <v>47085</v>
      </c>
      <c r="W35" t="str">
        <f t="shared" si="9"/>
        <v>NG</v>
      </c>
      <c r="X35" s="35" t="str">
        <f t="shared" si="7"/>
        <v>NYMEX</v>
      </c>
    </row>
    <row r="36" spans="1:24" x14ac:dyDescent="0.2">
      <c r="A36" s="18" t="s">
        <v>6</v>
      </c>
      <c r="B36" s="1" t="s">
        <v>7</v>
      </c>
      <c r="C36" s="22">
        <v>46101</v>
      </c>
      <c r="D36" s="1" t="str">
        <f t="shared" si="0"/>
        <v>SILV</v>
      </c>
      <c r="E36" s="23" t="s">
        <v>508</v>
      </c>
      <c r="F36" s="13" t="str">
        <f t="shared" si="1"/>
        <v>RUS:SVH2026-COMEX:SIJ2026</v>
      </c>
      <c r="G36" s="22">
        <f t="shared" si="2"/>
        <v>46101</v>
      </c>
      <c r="H36" s="1" t="str">
        <f t="shared" si="3"/>
        <v>SILV-3.26</v>
      </c>
      <c r="I36" s="23" t="str">
        <f t="shared" si="10"/>
        <v>QR_SIJ6</v>
      </c>
      <c r="J36" s="1" t="str" cm="1">
        <f t="array" ref="J36">INDEX(Q:Q,MATCH(1, (W:W=E36)*(V:V&gt;=C36-L36)*(V:V&lt;=C36+L36), 0))</f>
        <v>SIJ26</v>
      </c>
      <c r="K36" s="22">
        <f t="shared" si="5"/>
        <v>46112</v>
      </c>
      <c r="L36" s="1">
        <v>15</v>
      </c>
      <c r="M36" s="1">
        <f t="shared" si="6"/>
        <v>11</v>
      </c>
      <c r="Q36" s="18" t="s">
        <v>120</v>
      </c>
      <c r="R36" s="2">
        <v>42703</v>
      </c>
      <c r="S36" s="2">
        <v>47114</v>
      </c>
      <c r="T36" s="2">
        <v>47114</v>
      </c>
      <c r="U36" s="37" t="s">
        <v>422</v>
      </c>
      <c r="V36" s="2">
        <f t="shared" si="8"/>
        <v>47114</v>
      </c>
      <c r="W36" t="str">
        <f t="shared" si="9"/>
        <v>NG</v>
      </c>
      <c r="X36" s="35" t="str">
        <f t="shared" si="7"/>
        <v>NYMEX</v>
      </c>
    </row>
    <row r="37" spans="1:24" x14ac:dyDescent="0.2">
      <c r="A37" s="18" t="s">
        <v>36</v>
      </c>
      <c r="B37" s="1" t="s">
        <v>37</v>
      </c>
      <c r="C37" s="22">
        <v>46192</v>
      </c>
      <c r="D37" s="1" t="str">
        <f t="shared" si="0"/>
        <v>SILV</v>
      </c>
      <c r="E37" s="23" t="s">
        <v>508</v>
      </c>
      <c r="F37" s="13" t="str">
        <f t="shared" si="1"/>
        <v>RUS:SVM2026-COMEX:SIN2026</v>
      </c>
      <c r="G37" s="22">
        <f t="shared" si="2"/>
        <v>46192</v>
      </c>
      <c r="H37" s="1" t="str">
        <f t="shared" si="3"/>
        <v>SILV-6.26</v>
      </c>
      <c r="I37" s="23" t="str">
        <f t="shared" si="10"/>
        <v>QR_SIN6</v>
      </c>
      <c r="J37" s="1" t="str" cm="1">
        <f t="array" ref="J37">INDEX(Q:Q,MATCH(1, (W:W=E37)*(V:V&gt;=C37-L37)*(V:V&lt;=C37+L37), 0))</f>
        <v>SIN26</v>
      </c>
      <c r="K37" s="22">
        <f t="shared" si="5"/>
        <v>46203</v>
      </c>
      <c r="L37" s="1">
        <v>15</v>
      </c>
      <c r="M37" s="1">
        <f t="shared" si="6"/>
        <v>11</v>
      </c>
      <c r="Q37" s="18" t="s">
        <v>121</v>
      </c>
      <c r="R37" s="2">
        <v>42703</v>
      </c>
      <c r="S37" s="2">
        <v>47147</v>
      </c>
      <c r="T37" s="2">
        <v>47147</v>
      </c>
      <c r="U37" s="37" t="s">
        <v>422</v>
      </c>
      <c r="V37" s="2">
        <f t="shared" si="8"/>
        <v>47147</v>
      </c>
      <c r="W37" t="str">
        <f t="shared" si="9"/>
        <v>NG</v>
      </c>
      <c r="X37" s="35" t="str">
        <f t="shared" si="7"/>
        <v>NYMEX</v>
      </c>
    </row>
    <row r="38" spans="1:24" x14ac:dyDescent="0.2">
      <c r="A38" s="18" t="s">
        <v>60</v>
      </c>
      <c r="B38" s="1" t="s">
        <v>61</v>
      </c>
      <c r="C38" s="22">
        <v>46283</v>
      </c>
      <c r="D38" s="1" t="str">
        <f t="shared" si="0"/>
        <v>SILV</v>
      </c>
      <c r="E38" s="23" t="s">
        <v>508</v>
      </c>
      <c r="F38" s="13" t="str">
        <f t="shared" si="1"/>
        <v>RUS:SVU2026-COMEX:SIV2026</v>
      </c>
      <c r="G38" s="22">
        <f t="shared" si="2"/>
        <v>46283</v>
      </c>
      <c r="H38" s="1" t="str">
        <f t="shared" si="3"/>
        <v>SILV-9.26</v>
      </c>
      <c r="I38" s="23" t="str">
        <f t="shared" si="10"/>
        <v>QR_SIV6</v>
      </c>
      <c r="J38" s="1" t="str" cm="1">
        <f t="array" ref="J38">INDEX(Q:Q,MATCH(1, (W:W=E38)*(V:V&gt;=C38-L38)*(V:V&lt;=C38+L38), 0))</f>
        <v>SIV26</v>
      </c>
      <c r="K38" s="22">
        <f t="shared" si="5"/>
        <v>46295</v>
      </c>
      <c r="L38" s="1">
        <v>15</v>
      </c>
      <c r="M38" s="1">
        <f t="shared" si="6"/>
        <v>12</v>
      </c>
      <c r="Q38" s="18" t="s">
        <v>122</v>
      </c>
      <c r="R38" s="2">
        <v>42703</v>
      </c>
      <c r="S38" s="2">
        <v>47175</v>
      </c>
      <c r="T38" s="2">
        <v>47175</v>
      </c>
      <c r="U38" s="37" t="s">
        <v>422</v>
      </c>
      <c r="V38" s="2">
        <f t="shared" si="8"/>
        <v>47175</v>
      </c>
      <c r="W38" t="str">
        <f t="shared" si="9"/>
        <v>NG</v>
      </c>
      <c r="X38" s="35" t="str">
        <f t="shared" si="7"/>
        <v>NYMEX</v>
      </c>
    </row>
    <row r="39" spans="1:24" x14ac:dyDescent="0.2">
      <c r="A39" s="18" t="s">
        <v>76</v>
      </c>
      <c r="B39" s="1" t="s">
        <v>77</v>
      </c>
      <c r="C39" s="22">
        <v>46374</v>
      </c>
      <c r="D39" s="1" t="str">
        <f t="shared" si="0"/>
        <v>SILV</v>
      </c>
      <c r="E39" s="23" t="s">
        <v>508</v>
      </c>
      <c r="F39" s="13" t="str">
        <f t="shared" si="1"/>
        <v>RUS:SVZ2026-COMEX:SIF2027</v>
      </c>
      <c r="G39" s="22">
        <f t="shared" si="2"/>
        <v>46374</v>
      </c>
      <c r="H39" s="1" t="str">
        <f t="shared" si="3"/>
        <v>SILV-12.26</v>
      </c>
      <c r="I39" s="23" t="str">
        <f t="shared" si="10"/>
        <v>QR_SIF7</v>
      </c>
      <c r="J39" s="1" t="str" cm="1">
        <f t="array" ref="J39">INDEX(Q:Q,MATCH(1, (W:W=E39)*(V:V&gt;=C39-L39)*(V:V&lt;=C39+L39), 0))</f>
        <v>SIF27</v>
      </c>
      <c r="K39" s="22">
        <f t="shared" si="5"/>
        <v>46387</v>
      </c>
      <c r="L39" s="1">
        <v>15</v>
      </c>
      <c r="M39" s="1">
        <f t="shared" si="6"/>
        <v>13</v>
      </c>
      <c r="Q39" s="18" t="s">
        <v>123</v>
      </c>
      <c r="R39" s="2">
        <v>42703</v>
      </c>
      <c r="S39" s="2">
        <v>47204</v>
      </c>
      <c r="T39" s="2">
        <v>47204</v>
      </c>
      <c r="U39" s="37" t="s">
        <v>422</v>
      </c>
      <c r="V39" s="2">
        <f t="shared" si="8"/>
        <v>47204</v>
      </c>
      <c r="W39" t="str">
        <f t="shared" si="9"/>
        <v>NG</v>
      </c>
      <c r="X39" s="35" t="str">
        <f t="shared" si="7"/>
        <v>NYMEX</v>
      </c>
    </row>
    <row r="40" spans="1:24" x14ac:dyDescent="0.2">
      <c r="A40" s="18" t="s">
        <v>4</v>
      </c>
      <c r="B40" s="1" t="s">
        <v>5</v>
      </c>
      <c r="C40" s="22">
        <v>46101</v>
      </c>
      <c r="D40" s="1" t="str">
        <f t="shared" si="0"/>
        <v>GOLD</v>
      </c>
      <c r="E40" s="23" t="s">
        <v>510</v>
      </c>
      <c r="F40" s="13" t="str">
        <f t="shared" si="1"/>
        <v>RUS:GDH2026-COMEX_MINI:MGCJ2026</v>
      </c>
      <c r="G40" s="22">
        <f t="shared" si="2"/>
        <v>46101</v>
      </c>
      <c r="H40" s="1" t="str">
        <f t="shared" si="3"/>
        <v>GOLD-3.26</v>
      </c>
      <c r="I40" s="23" t="str">
        <f t="shared" si="10"/>
        <v>QR_MGCJ6</v>
      </c>
      <c r="J40" s="1" t="str" cm="1">
        <f t="array" ref="J40">INDEX(Q:Q,MATCH(1, (W:W=E40)*(V:V&gt;=C40-L40)*(V:V&lt;=C40+L40), 0))</f>
        <v>MGCJ26</v>
      </c>
      <c r="K40" s="22">
        <f t="shared" si="5"/>
        <v>46112</v>
      </c>
      <c r="L40" s="1">
        <v>15</v>
      </c>
      <c r="M40" s="1">
        <f t="shared" si="6"/>
        <v>11</v>
      </c>
      <c r="Q40" s="18" t="s">
        <v>124</v>
      </c>
      <c r="R40" s="2">
        <v>42703</v>
      </c>
      <c r="S40" s="2">
        <v>47234</v>
      </c>
      <c r="T40" s="2">
        <v>47234</v>
      </c>
      <c r="U40" s="37" t="s">
        <v>422</v>
      </c>
      <c r="V40" s="2">
        <f t="shared" si="8"/>
        <v>47234</v>
      </c>
      <c r="W40" t="str">
        <f t="shared" si="9"/>
        <v>NG</v>
      </c>
      <c r="X40" s="35" t="str">
        <f t="shared" si="7"/>
        <v>NYMEX</v>
      </c>
    </row>
    <row r="41" spans="1:24" x14ac:dyDescent="0.2">
      <c r="A41" s="18" t="s">
        <v>34</v>
      </c>
      <c r="B41" s="1" t="s">
        <v>35</v>
      </c>
      <c r="C41" s="22">
        <v>46192</v>
      </c>
      <c r="D41" s="1" t="str">
        <f t="shared" si="0"/>
        <v>GOLD</v>
      </c>
      <c r="E41" s="23" t="s">
        <v>510</v>
      </c>
      <c r="F41" s="13" t="str">
        <f t="shared" si="1"/>
        <v>RUS:GDM2026-COMEX_MINI:MGCM2026</v>
      </c>
      <c r="G41" s="22">
        <f t="shared" si="2"/>
        <v>46171</v>
      </c>
      <c r="H41" s="1" t="str">
        <f t="shared" si="3"/>
        <v>GOLD-6.26</v>
      </c>
      <c r="I41" s="23" t="str">
        <f t="shared" si="10"/>
        <v>QR_MGCM6</v>
      </c>
      <c r="J41" s="1" t="str" cm="1">
        <f t="array" ref="J41">INDEX(Q:Q,MATCH(1, (W:W=E41)*(V:V&gt;=C41-L41)*(V:V&lt;=C41+L41), 0))</f>
        <v>MGCM26</v>
      </c>
      <c r="K41" s="22">
        <f t="shared" si="5"/>
        <v>46171</v>
      </c>
      <c r="L41" s="1">
        <v>30</v>
      </c>
      <c r="M41" s="1">
        <f t="shared" si="6"/>
        <v>-21</v>
      </c>
      <c r="Q41" s="18" t="s">
        <v>125</v>
      </c>
      <c r="R41" s="2">
        <v>42703</v>
      </c>
      <c r="S41" s="2">
        <v>47267</v>
      </c>
      <c r="T41" s="2">
        <v>47267</v>
      </c>
      <c r="U41" s="37" t="s">
        <v>422</v>
      </c>
      <c r="V41" s="2">
        <f t="shared" si="8"/>
        <v>47267</v>
      </c>
      <c r="W41" t="str">
        <f t="shared" si="9"/>
        <v>NG</v>
      </c>
      <c r="X41" s="35" t="str">
        <f t="shared" si="7"/>
        <v>NYMEX</v>
      </c>
    </row>
    <row r="42" spans="1:24" x14ac:dyDescent="0.2">
      <c r="A42" s="18" t="s">
        <v>58</v>
      </c>
      <c r="B42" s="1" t="s">
        <v>59</v>
      </c>
      <c r="C42" s="22">
        <v>46283</v>
      </c>
      <c r="D42" s="1" t="str">
        <f t="shared" si="0"/>
        <v>GOLD</v>
      </c>
      <c r="E42" s="23" t="s">
        <v>510</v>
      </c>
      <c r="F42" s="13" t="str">
        <f t="shared" si="1"/>
        <v>RUS:GDU2026-COMEX_MINI:MGCV2026</v>
      </c>
      <c r="G42" s="22">
        <f t="shared" si="2"/>
        <v>46283</v>
      </c>
      <c r="H42" s="1" t="str">
        <f t="shared" si="3"/>
        <v>GOLD-9.26</v>
      </c>
      <c r="I42" s="23" t="str">
        <f t="shared" si="10"/>
        <v>QR_MGCV6</v>
      </c>
      <c r="J42" s="1" t="str" cm="1">
        <f t="array" ref="J42">INDEX(Q:Q,MATCH(1, (W:W=E42)*(V:V&gt;=C42-L42)*(V:V&lt;=C42+L42), 0))</f>
        <v>MGCV26</v>
      </c>
      <c r="K42" s="22">
        <f t="shared" si="5"/>
        <v>46295</v>
      </c>
      <c r="L42" s="1">
        <v>15</v>
      </c>
      <c r="M42" s="1">
        <f t="shared" si="6"/>
        <v>12</v>
      </c>
      <c r="Q42" s="18" t="s">
        <v>126</v>
      </c>
      <c r="R42" s="2">
        <v>42703</v>
      </c>
      <c r="S42" s="2">
        <v>47296</v>
      </c>
      <c r="T42" s="2">
        <v>47296</v>
      </c>
      <c r="U42" s="37" t="s">
        <v>422</v>
      </c>
      <c r="V42" s="2">
        <f t="shared" si="8"/>
        <v>47296</v>
      </c>
      <c r="W42" t="str">
        <f t="shared" si="9"/>
        <v>NG</v>
      </c>
      <c r="X42" s="35" t="str">
        <f t="shared" si="7"/>
        <v>NYMEX</v>
      </c>
    </row>
    <row r="43" spans="1:24" x14ac:dyDescent="0.2">
      <c r="A43" s="18" t="s">
        <v>74</v>
      </c>
      <c r="B43" s="1" t="s">
        <v>75</v>
      </c>
      <c r="C43" s="22">
        <v>46374</v>
      </c>
      <c r="D43" s="1" t="str">
        <f t="shared" si="0"/>
        <v>GOLD</v>
      </c>
      <c r="E43" s="23" t="s">
        <v>510</v>
      </c>
      <c r="F43" s="13" t="str">
        <f t="shared" si="1"/>
        <v>RUS:GDZ2026-COMEX_MINI:MGCZ2026</v>
      </c>
      <c r="G43" s="22">
        <f t="shared" si="2"/>
        <v>46356</v>
      </c>
      <c r="H43" s="1" t="str">
        <f t="shared" si="3"/>
        <v>GOLD-12.26</v>
      </c>
      <c r="I43" s="23" t="str">
        <f t="shared" si="10"/>
        <v>QR_MGCZ6</v>
      </c>
      <c r="J43" s="1" t="str" cm="1">
        <f t="array" ref="J43">INDEX(Q:Q,MATCH(1, (W:W=E43)*(V:V&gt;=C43-L43)*(V:V&lt;=C43+L43), 0))</f>
        <v>MGCZ26</v>
      </c>
      <c r="K43" s="22">
        <f t="shared" si="5"/>
        <v>46356</v>
      </c>
      <c r="L43" s="1">
        <v>30</v>
      </c>
      <c r="M43" s="1">
        <f t="shared" si="6"/>
        <v>-18</v>
      </c>
      <c r="Q43" s="18" t="s">
        <v>127</v>
      </c>
      <c r="R43" s="2">
        <v>42703</v>
      </c>
      <c r="S43" s="2">
        <v>47326</v>
      </c>
      <c r="T43" s="2">
        <v>47326</v>
      </c>
      <c r="U43" s="37" t="s">
        <v>422</v>
      </c>
      <c r="V43" s="2">
        <f t="shared" si="8"/>
        <v>47326</v>
      </c>
      <c r="W43" t="str">
        <f t="shared" si="9"/>
        <v>NG</v>
      </c>
      <c r="X43" s="35" t="str">
        <f t="shared" si="7"/>
        <v>NYMEX</v>
      </c>
    </row>
    <row r="44" spans="1:24" x14ac:dyDescent="0.2">
      <c r="A44" s="18" t="s">
        <v>6</v>
      </c>
      <c r="B44" s="1" t="s">
        <v>7</v>
      </c>
      <c r="C44" s="22">
        <v>46101</v>
      </c>
      <c r="D44" s="1" t="str">
        <f t="shared" si="0"/>
        <v>SILV</v>
      </c>
      <c r="E44" s="23" t="s">
        <v>511</v>
      </c>
      <c r="F44" s="13" t="str">
        <f t="shared" si="1"/>
        <v>RUS:SVH2026-COMEX_MINI:SILJ2026</v>
      </c>
      <c r="G44" s="22">
        <f t="shared" si="2"/>
        <v>46101</v>
      </c>
      <c r="H44" s="1" t="str">
        <f t="shared" si="3"/>
        <v>SILV-3.26</v>
      </c>
      <c r="I44" s="23" t="str">
        <f t="shared" si="10"/>
        <v>QR_SILJ6</v>
      </c>
      <c r="J44" s="1" t="str" cm="1">
        <f t="array" ref="J44">INDEX(Q:Q,MATCH(1, (W:W=E44)*(V:V&gt;=C44-L44)*(V:V&lt;=C44+L44), 0))</f>
        <v>SILJ26</v>
      </c>
      <c r="K44" s="22">
        <f t="shared" si="5"/>
        <v>46112</v>
      </c>
      <c r="L44" s="1">
        <v>15</v>
      </c>
      <c r="M44" s="1">
        <f t="shared" si="6"/>
        <v>11</v>
      </c>
      <c r="Q44" s="18" t="s">
        <v>128</v>
      </c>
      <c r="R44" s="2">
        <v>42703</v>
      </c>
      <c r="S44" s="2">
        <v>47359</v>
      </c>
      <c r="T44" s="2">
        <v>47359</v>
      </c>
      <c r="U44" s="37" t="s">
        <v>422</v>
      </c>
      <c r="V44" s="2">
        <f t="shared" si="8"/>
        <v>47359</v>
      </c>
      <c r="W44" t="str">
        <f t="shared" si="9"/>
        <v>NG</v>
      </c>
      <c r="X44" s="35" t="str">
        <f t="shared" si="7"/>
        <v>NYMEX</v>
      </c>
    </row>
    <row r="45" spans="1:24" x14ac:dyDescent="0.2">
      <c r="A45" s="18" t="s">
        <v>36</v>
      </c>
      <c r="B45" s="1" t="s">
        <v>37</v>
      </c>
      <c r="C45" s="22">
        <v>46192</v>
      </c>
      <c r="D45" s="1" t="str">
        <f t="shared" si="0"/>
        <v>SILV</v>
      </c>
      <c r="E45" s="23" t="s">
        <v>511</v>
      </c>
      <c r="F45" s="13" t="str">
        <f t="shared" si="1"/>
        <v>RUS:SVM2026-COMEX_MINI:SILN2026</v>
      </c>
      <c r="G45" s="22">
        <f t="shared" si="2"/>
        <v>46192</v>
      </c>
      <c r="H45" s="1" t="str">
        <f t="shared" si="3"/>
        <v>SILV-6.26</v>
      </c>
      <c r="I45" s="23" t="str">
        <f t="shared" si="10"/>
        <v>QR_SILN6</v>
      </c>
      <c r="J45" s="1" t="str" cm="1">
        <f t="array" ref="J45">INDEX(Q:Q,MATCH(1, (W:W=E45)*(V:V&gt;=C45-L45)*(V:V&lt;=C45+L45), 0))</f>
        <v>SILN26</v>
      </c>
      <c r="K45" s="22">
        <f t="shared" si="5"/>
        <v>46203</v>
      </c>
      <c r="L45" s="1">
        <v>15</v>
      </c>
      <c r="M45" s="1">
        <f t="shared" si="6"/>
        <v>11</v>
      </c>
      <c r="Q45" s="18" t="s">
        <v>129</v>
      </c>
      <c r="R45" s="2">
        <v>42703</v>
      </c>
      <c r="S45" s="2">
        <v>47387</v>
      </c>
      <c r="T45" s="2">
        <v>47387</v>
      </c>
      <c r="U45" s="37" t="s">
        <v>422</v>
      </c>
      <c r="V45" s="2">
        <f t="shared" si="8"/>
        <v>47387</v>
      </c>
      <c r="W45" t="str">
        <f t="shared" si="9"/>
        <v>NG</v>
      </c>
      <c r="X45" s="35" t="str">
        <f t="shared" si="7"/>
        <v>NYMEX</v>
      </c>
    </row>
    <row r="46" spans="1:24" x14ac:dyDescent="0.2">
      <c r="A46" s="18" t="s">
        <v>60</v>
      </c>
      <c r="B46" s="1" t="s">
        <v>61</v>
      </c>
      <c r="C46" s="22">
        <v>46283</v>
      </c>
      <c r="D46" s="1" t="str">
        <f t="shared" si="0"/>
        <v>SILV</v>
      </c>
      <c r="E46" s="23" t="s">
        <v>511</v>
      </c>
      <c r="F46" s="13" t="str">
        <f t="shared" si="1"/>
        <v>RUS:SVU2026-COMEX_MINI:SILU2026</v>
      </c>
      <c r="G46" s="22">
        <f t="shared" si="2"/>
        <v>46265</v>
      </c>
      <c r="H46" s="1" t="str">
        <f t="shared" si="3"/>
        <v>SILV-9.26</v>
      </c>
      <c r="I46" s="23" t="str">
        <f t="shared" si="10"/>
        <v>QR_SILU6</v>
      </c>
      <c r="J46" s="1" t="str" cm="1">
        <f t="array" ref="J46">INDEX(Q:Q,MATCH(1, (W:W=E46)*(V:V&gt;=C46-L46)*(V:V&lt;=C46+L46), 0))</f>
        <v>SILU26</v>
      </c>
      <c r="K46" s="22">
        <f t="shared" si="5"/>
        <v>46265</v>
      </c>
      <c r="L46" s="1">
        <v>30</v>
      </c>
      <c r="M46" s="1">
        <f t="shared" si="6"/>
        <v>-18</v>
      </c>
      <c r="Q46" s="18" t="s">
        <v>130</v>
      </c>
      <c r="R46" s="2">
        <v>42703</v>
      </c>
      <c r="S46" s="2">
        <v>47420</v>
      </c>
      <c r="T46" s="2">
        <v>47420</v>
      </c>
      <c r="U46" s="37" t="s">
        <v>422</v>
      </c>
      <c r="V46" s="2">
        <f t="shared" si="8"/>
        <v>47420</v>
      </c>
      <c r="W46" t="str">
        <f t="shared" si="9"/>
        <v>NG</v>
      </c>
      <c r="X46" s="35" t="str">
        <f t="shared" si="7"/>
        <v>NYMEX</v>
      </c>
    </row>
    <row r="47" spans="1:24" x14ac:dyDescent="0.2">
      <c r="A47" s="18" t="s">
        <v>2</v>
      </c>
      <c r="B47" s="1" t="s">
        <v>3</v>
      </c>
      <c r="C47" s="22">
        <v>46100</v>
      </c>
      <c r="D47" s="1" t="str">
        <f t="shared" si="0"/>
        <v>UCNY</v>
      </c>
      <c r="E47" s="23" t="s">
        <v>518</v>
      </c>
      <c r="F47" s="13" t="str">
        <f>"RUS:"&amp;MID(B47,1,LEN(B47)-1)&amp;"20"&amp;RIGHT(A47,2)&amp;"-"&amp;INDEX(X:X, MATCH(J47,Q:Q,0))&amp;":"&amp;IF(N47="", MID(J47,1,LEN(J47)-2), N47&amp;MID(J47,LEN(J47)-2,1))&amp;"20"&amp;RIGHT(J47,2)</f>
        <v>RUS:UCH2026-CME:UCH2026</v>
      </c>
      <c r="G47" s="22">
        <f t="shared" si="2"/>
        <v>46097</v>
      </c>
      <c r="H47" s="1" t="str">
        <f t="shared" si="3"/>
        <v>UCNY-3.26</v>
      </c>
      <c r="I47" s="23" t="str">
        <f t="shared" si="10"/>
        <v>QR_UCH6</v>
      </c>
      <c r="J47" s="1" t="str" cm="1">
        <f t="array" ref="J47">INDEX(Q:Q,MATCH(1, (W:W=E47)*(V:V&gt;=C47-L47)*(V:V&lt;=C47+L47), 0))</f>
        <v>CNHH26</v>
      </c>
      <c r="K47" s="22">
        <f t="shared" si="5"/>
        <v>46097</v>
      </c>
      <c r="L47" s="1">
        <v>15</v>
      </c>
      <c r="M47" s="1">
        <f t="shared" si="6"/>
        <v>-3</v>
      </c>
      <c r="N47" s="19" t="s">
        <v>571</v>
      </c>
      <c r="Q47" s="18" t="s">
        <v>131</v>
      </c>
      <c r="R47" s="2">
        <v>42703</v>
      </c>
      <c r="S47" s="2">
        <v>47450</v>
      </c>
      <c r="T47" s="2">
        <v>47450</v>
      </c>
      <c r="U47" s="37" t="s">
        <v>422</v>
      </c>
      <c r="V47" s="2">
        <f t="shared" si="8"/>
        <v>47450</v>
      </c>
      <c r="W47" t="str">
        <f t="shared" si="9"/>
        <v>NG</v>
      </c>
      <c r="X47" s="35" t="str">
        <f t="shared" si="7"/>
        <v>NYMEX</v>
      </c>
    </row>
    <row r="48" spans="1:24" x14ac:dyDescent="0.2">
      <c r="A48" s="18" t="s">
        <v>32</v>
      </c>
      <c r="B48" s="1" t="s">
        <v>33</v>
      </c>
      <c r="C48" s="22">
        <v>46191</v>
      </c>
      <c r="D48" s="1" t="str">
        <f t="shared" si="0"/>
        <v>UCNY</v>
      </c>
      <c r="E48" s="23" t="s">
        <v>518</v>
      </c>
      <c r="F48" s="13" t="str">
        <f t="shared" ref="F48:F50" si="11">"RUS:"&amp;MID(B48,1,LEN(B48)-1)&amp;"20"&amp;RIGHT(A48,2)&amp;"-"&amp;INDEX(X:X, MATCH(J48,Q:Q,0))&amp;":"&amp;IF(N48="", MID(J48,1,LEN(J48)-2), N48&amp;MID(J48,LEN(J48)-2,1))&amp;"20"&amp;RIGHT(J48,2)</f>
        <v>RUS:UCM2026-CME:UCM2026</v>
      </c>
      <c r="G48" s="22">
        <f t="shared" si="2"/>
        <v>46188</v>
      </c>
      <c r="H48" s="1" t="str">
        <f t="shared" si="3"/>
        <v>UCNY-6.26</v>
      </c>
      <c r="I48" s="23" t="str">
        <f t="shared" si="10"/>
        <v>QR_UCM6</v>
      </c>
      <c r="J48" s="1" t="str" cm="1">
        <f t="array" ref="J48">INDEX(Q:Q,MATCH(1, (W:W=E48)*(V:V&gt;=C48-L48)*(V:V&lt;=C48+L48), 0))</f>
        <v>CNHM26</v>
      </c>
      <c r="K48" s="22">
        <f t="shared" si="5"/>
        <v>46188</v>
      </c>
      <c r="L48" s="1">
        <v>15</v>
      </c>
      <c r="M48" s="1">
        <f t="shared" si="6"/>
        <v>-3</v>
      </c>
      <c r="N48" s="19" t="s">
        <v>571</v>
      </c>
      <c r="Q48" s="18" t="s">
        <v>132</v>
      </c>
      <c r="R48" s="2">
        <v>43068</v>
      </c>
      <c r="S48" s="2">
        <v>47479</v>
      </c>
      <c r="T48" s="2">
        <v>47479</v>
      </c>
      <c r="U48" s="37" t="s">
        <v>422</v>
      </c>
      <c r="V48" s="2">
        <f t="shared" si="8"/>
        <v>47479</v>
      </c>
      <c r="W48" t="str">
        <f t="shared" si="9"/>
        <v>NG</v>
      </c>
      <c r="X48" s="35" t="str">
        <f t="shared" si="7"/>
        <v>NYMEX</v>
      </c>
    </row>
    <row r="49" spans="1:24" x14ac:dyDescent="0.2">
      <c r="A49" s="18" t="s">
        <v>56</v>
      </c>
      <c r="B49" s="1" t="s">
        <v>57</v>
      </c>
      <c r="C49" s="22">
        <v>46282</v>
      </c>
      <c r="D49" s="1" t="str">
        <f t="shared" si="0"/>
        <v>UCNY</v>
      </c>
      <c r="E49" s="23" t="s">
        <v>518</v>
      </c>
      <c r="F49" s="13" t="str">
        <f t="shared" si="11"/>
        <v>RUS:UCU2026-CME:UCU2026</v>
      </c>
      <c r="G49" s="22">
        <f t="shared" si="2"/>
        <v>46279</v>
      </c>
      <c r="H49" s="1" t="str">
        <f t="shared" si="3"/>
        <v>UCNY-9.26</v>
      </c>
      <c r="I49" s="23" t="str">
        <f t="shared" si="10"/>
        <v>QR_UCU6</v>
      </c>
      <c r="J49" s="1" t="str" cm="1">
        <f t="array" ref="J49">INDEX(Q:Q,MATCH(1, (W:W=E49)*(V:V&gt;=C49-L49)*(V:V&lt;=C49+L49), 0))</f>
        <v>CNHU26</v>
      </c>
      <c r="K49" s="22">
        <f t="shared" si="5"/>
        <v>46279</v>
      </c>
      <c r="L49" s="1">
        <v>15</v>
      </c>
      <c r="M49" s="1">
        <f t="shared" si="6"/>
        <v>-3</v>
      </c>
      <c r="N49" s="19" t="s">
        <v>571</v>
      </c>
      <c r="Q49" s="18" t="s">
        <v>133</v>
      </c>
      <c r="R49" s="2">
        <v>43068</v>
      </c>
      <c r="S49" s="2">
        <v>47512</v>
      </c>
      <c r="T49" s="2">
        <v>47512</v>
      </c>
      <c r="U49" s="37" t="s">
        <v>422</v>
      </c>
      <c r="V49" s="2">
        <f t="shared" si="8"/>
        <v>47512</v>
      </c>
      <c r="W49" t="str">
        <f t="shared" si="9"/>
        <v>NG</v>
      </c>
      <c r="X49" s="35" t="str">
        <f t="shared" si="7"/>
        <v>NYMEX</v>
      </c>
    </row>
    <row r="50" spans="1:24" x14ac:dyDescent="0.2">
      <c r="A50" s="18" t="s">
        <v>72</v>
      </c>
      <c r="B50" s="1" t="s">
        <v>73</v>
      </c>
      <c r="C50" s="22">
        <v>46373</v>
      </c>
      <c r="D50" s="1" t="str">
        <f t="shared" si="0"/>
        <v>UCNY</v>
      </c>
      <c r="E50" s="23" t="s">
        <v>518</v>
      </c>
      <c r="F50" s="13" t="str">
        <f t="shared" si="11"/>
        <v>RUS:UCZ2026-CME:UCZ2026</v>
      </c>
      <c r="G50" s="22">
        <f t="shared" si="2"/>
        <v>46370</v>
      </c>
      <c r="H50" s="1" t="str">
        <f t="shared" si="3"/>
        <v>UCNY-12.26</v>
      </c>
      <c r="I50" s="23" t="str">
        <f t="shared" si="10"/>
        <v>QR_UCZ6</v>
      </c>
      <c r="J50" s="1" t="str" cm="1">
        <f t="array" ref="J50">INDEX(Q:Q,MATCH(1, (W:W=E50)*(V:V&gt;=C50-L50)*(V:V&lt;=C50+L50), 0))</f>
        <v>CNHZ26</v>
      </c>
      <c r="K50" s="22">
        <f t="shared" si="5"/>
        <v>46370</v>
      </c>
      <c r="L50" s="1">
        <v>15</v>
      </c>
      <c r="M50" s="1">
        <f t="shared" si="6"/>
        <v>-3</v>
      </c>
      <c r="N50" s="19" t="s">
        <v>571</v>
      </c>
      <c r="Q50" s="18" t="s">
        <v>134</v>
      </c>
      <c r="R50" s="2">
        <v>43068</v>
      </c>
      <c r="S50" s="2">
        <v>47540</v>
      </c>
      <c r="T50" s="2">
        <v>47540</v>
      </c>
      <c r="U50" s="37" t="s">
        <v>422</v>
      </c>
      <c r="V50" s="2">
        <f t="shared" si="8"/>
        <v>47540</v>
      </c>
      <c r="W50" t="str">
        <f t="shared" si="9"/>
        <v>NG</v>
      </c>
      <c r="X50" s="35" t="str">
        <f t="shared" si="7"/>
        <v>NYMEX</v>
      </c>
    </row>
    <row r="51" spans="1:24" x14ac:dyDescent="0.2">
      <c r="A51" s="18" t="s">
        <v>572</v>
      </c>
      <c r="B51" s="1" t="s">
        <v>573</v>
      </c>
      <c r="C51" s="22">
        <v>46101</v>
      </c>
      <c r="D51" s="1" t="str">
        <f t="shared" si="0"/>
        <v>NASD</v>
      </c>
      <c r="E51" s="23" t="s">
        <v>568</v>
      </c>
      <c r="F51" s="13" t="str">
        <f t="shared" ref="F51:F58" si="12">"RUS:"&amp;MID(B51,1,LEN(B51)-1)&amp;"20"&amp;RIGHT(A51,2)&amp;"-"&amp;INDEX(X:X, MATCH(J51,Q:Q,0))&amp;":"&amp;IF(N51="", MID(J51,1,LEN(J51)-2), N51&amp;MID(J51,LEN(J51)-2,1))&amp;"20"&amp;RIGHT(J51,2)</f>
        <v>RUS:NAH2026-CME_MINI:MNQH2026</v>
      </c>
      <c r="G51" s="22">
        <f t="shared" ref="G51:G58" si="13">MIN(C51,K51)</f>
        <v>46101</v>
      </c>
      <c r="H51" s="1" t="str">
        <f t="shared" ref="H51:H58" si="14">A51</f>
        <v>NASD-3.26</v>
      </c>
      <c r="I51" s="23" t="str">
        <f t="shared" ref="I51:I58" si="15">"QR_"&amp;IF(N51="", MID(J51,1,LEN(J51)-2)&amp;RIGHT(J51),N51&amp;MID(J51,LEN(J51)-2,1)&amp;RIGHT(J51))</f>
        <v>QR_MNQH6</v>
      </c>
      <c r="J51" s="1" t="str" cm="1">
        <f t="array" ref="J51">INDEX(Q:Q,MATCH(1, (W:W=E51)*(V:V&gt;=C51-L51)*(V:V&lt;=C51+L51), 0))</f>
        <v>MNQH26</v>
      </c>
      <c r="K51" s="22">
        <f t="shared" ref="K51:K58" si="16">INDEX(V:V, MATCH(J51,Q:Q,0))</f>
        <v>46101</v>
      </c>
      <c r="L51" s="1">
        <v>16</v>
      </c>
      <c r="M51" s="1">
        <f t="shared" ref="M51:M58" si="17">K51-C51</f>
        <v>0</v>
      </c>
      <c r="Q51" s="18" t="s">
        <v>135</v>
      </c>
      <c r="R51" s="2">
        <v>43068</v>
      </c>
      <c r="S51" s="2">
        <v>47569</v>
      </c>
      <c r="T51" s="2">
        <v>47569</v>
      </c>
      <c r="U51" s="37" t="s">
        <v>422</v>
      </c>
      <c r="V51" s="2">
        <f t="shared" si="8"/>
        <v>47569</v>
      </c>
      <c r="W51" t="str">
        <f t="shared" si="9"/>
        <v>NG</v>
      </c>
      <c r="X51" s="35" t="str">
        <f t="shared" si="7"/>
        <v>NYMEX</v>
      </c>
    </row>
    <row r="52" spans="1:24" x14ac:dyDescent="0.2">
      <c r="A52" s="18" t="s">
        <v>576</v>
      </c>
      <c r="B52" s="1" t="s">
        <v>577</v>
      </c>
      <c r="C52" s="22">
        <v>46192</v>
      </c>
      <c r="D52" s="1" t="str">
        <f t="shared" si="0"/>
        <v>NASD</v>
      </c>
      <c r="E52" s="23" t="s">
        <v>568</v>
      </c>
      <c r="F52" s="13" t="str">
        <f t="shared" si="12"/>
        <v>RUS:NAM2026-CME_MINI:MNQM2026</v>
      </c>
      <c r="G52" s="22">
        <f t="shared" si="13"/>
        <v>46191</v>
      </c>
      <c r="H52" s="1" t="str">
        <f t="shared" si="14"/>
        <v>NASD-6.26</v>
      </c>
      <c r="I52" s="23" t="str">
        <f t="shared" si="15"/>
        <v>QR_MNQM6</v>
      </c>
      <c r="J52" s="1" t="str" cm="1">
        <f t="array" ref="J52">INDEX(Q:Q,MATCH(1, (W:W=E52)*(V:V&gt;=C52-L52)*(V:V&lt;=C52+L52), 0))</f>
        <v>MNQM26</v>
      </c>
      <c r="K52" s="22">
        <f t="shared" si="16"/>
        <v>46191</v>
      </c>
      <c r="L52" s="1">
        <v>17</v>
      </c>
      <c r="M52" s="1">
        <f t="shared" si="17"/>
        <v>-1</v>
      </c>
      <c r="Q52" s="18" t="s">
        <v>136</v>
      </c>
      <c r="R52" s="2">
        <v>43068</v>
      </c>
      <c r="S52" s="2">
        <v>47599</v>
      </c>
      <c r="T52" s="2">
        <v>47599</v>
      </c>
      <c r="U52" s="37" t="s">
        <v>422</v>
      </c>
      <c r="V52" s="2">
        <f t="shared" si="8"/>
        <v>47599</v>
      </c>
      <c r="W52" t="str">
        <f t="shared" si="9"/>
        <v>NG</v>
      </c>
      <c r="X52" s="35" t="str">
        <f t="shared" si="7"/>
        <v>NYMEX</v>
      </c>
    </row>
    <row r="53" spans="1:24" x14ac:dyDescent="0.2">
      <c r="A53" s="18" t="s">
        <v>580</v>
      </c>
      <c r="B53" s="1" t="s">
        <v>581</v>
      </c>
      <c r="C53" s="22">
        <v>46283</v>
      </c>
      <c r="D53" s="1" t="str">
        <f t="shared" si="0"/>
        <v>NASD</v>
      </c>
      <c r="E53" s="23" t="s">
        <v>568</v>
      </c>
      <c r="F53" s="13" t="str">
        <f t="shared" si="12"/>
        <v>RUS:NAU2026-CME_MINI:MNQU2026</v>
      </c>
      <c r="G53" s="22">
        <f t="shared" si="13"/>
        <v>46283</v>
      </c>
      <c r="H53" s="1" t="str">
        <f t="shared" si="14"/>
        <v>NASD-9.26</v>
      </c>
      <c r="I53" s="23" t="str">
        <f t="shared" si="15"/>
        <v>QR_MNQU6</v>
      </c>
      <c r="J53" s="1" t="str" cm="1">
        <f t="array" ref="J53">INDEX(Q:Q,MATCH(1, (W:W=E53)*(V:V&gt;=C53-L53)*(V:V&lt;=C53+L53), 0))</f>
        <v>MNQU26</v>
      </c>
      <c r="K53" s="22">
        <f t="shared" si="16"/>
        <v>46283</v>
      </c>
      <c r="L53" s="1">
        <v>18</v>
      </c>
      <c r="M53" s="1">
        <f t="shared" si="17"/>
        <v>0</v>
      </c>
      <c r="Q53" s="18" t="s">
        <v>137</v>
      </c>
      <c r="R53" s="2">
        <v>43068</v>
      </c>
      <c r="S53" s="2">
        <v>47632</v>
      </c>
      <c r="T53" s="2">
        <v>47632</v>
      </c>
      <c r="U53" s="37" t="s">
        <v>422</v>
      </c>
      <c r="V53" s="2">
        <f t="shared" si="8"/>
        <v>47632</v>
      </c>
      <c r="W53" t="str">
        <f t="shared" si="9"/>
        <v>NG</v>
      </c>
      <c r="X53" s="35" t="str">
        <f t="shared" si="7"/>
        <v>NYMEX</v>
      </c>
    </row>
    <row r="54" spans="1:24" x14ac:dyDescent="0.2">
      <c r="A54" s="18" t="s">
        <v>584</v>
      </c>
      <c r="B54" s="1" t="s">
        <v>585</v>
      </c>
      <c r="C54" s="22">
        <v>46374</v>
      </c>
      <c r="D54" s="1" t="str">
        <f t="shared" si="0"/>
        <v>NASD</v>
      </c>
      <c r="E54" s="23" t="s">
        <v>568</v>
      </c>
      <c r="F54" s="13" t="str">
        <f t="shared" si="12"/>
        <v>RUS:NAZ2026-CME_MINI:MNQZ2026</v>
      </c>
      <c r="G54" s="22">
        <f t="shared" si="13"/>
        <v>46374</v>
      </c>
      <c r="H54" s="1" t="str">
        <f t="shared" si="14"/>
        <v>NASD-12.26</v>
      </c>
      <c r="I54" s="23" t="str">
        <f t="shared" si="15"/>
        <v>QR_MNQZ6</v>
      </c>
      <c r="J54" s="1" t="str" cm="1">
        <f t="array" ref="J54">INDEX(Q:Q,MATCH(1, (W:W=E54)*(V:V&gt;=C54-L54)*(V:V&lt;=C54+L54), 0))</f>
        <v>MNQZ26</v>
      </c>
      <c r="K54" s="22">
        <f t="shared" si="16"/>
        <v>46374</v>
      </c>
      <c r="L54" s="1">
        <v>19</v>
      </c>
      <c r="M54" s="1">
        <f t="shared" si="17"/>
        <v>0</v>
      </c>
      <c r="Q54" s="18" t="s">
        <v>138</v>
      </c>
      <c r="R54" s="2">
        <v>43068</v>
      </c>
      <c r="S54" s="2">
        <v>47660</v>
      </c>
      <c r="T54" s="2">
        <v>47660</v>
      </c>
      <c r="U54" s="37" t="s">
        <v>422</v>
      </c>
      <c r="V54" s="2">
        <f t="shared" si="8"/>
        <v>47660</v>
      </c>
      <c r="W54" t="str">
        <f t="shared" si="9"/>
        <v>NG</v>
      </c>
      <c r="X54" s="35" t="str">
        <f t="shared" si="7"/>
        <v>NYMEX</v>
      </c>
    </row>
    <row r="55" spans="1:24" x14ac:dyDescent="0.2">
      <c r="A55" s="18" t="s">
        <v>574</v>
      </c>
      <c r="B55" s="1" t="s">
        <v>575</v>
      </c>
      <c r="C55" s="22">
        <v>46101</v>
      </c>
      <c r="D55" s="1" t="str">
        <f t="shared" si="0"/>
        <v>SPYF</v>
      </c>
      <c r="E55" s="23" t="s">
        <v>567</v>
      </c>
      <c r="F55" s="13" t="str">
        <f t="shared" si="12"/>
        <v>RUS:SFH2026-CME_MINI:MESH2026</v>
      </c>
      <c r="G55" s="22">
        <f t="shared" si="13"/>
        <v>46101</v>
      </c>
      <c r="H55" s="1" t="str">
        <f t="shared" si="14"/>
        <v>SPYF-3.26</v>
      </c>
      <c r="I55" s="23" t="str">
        <f t="shared" si="15"/>
        <v>QR_MESH6</v>
      </c>
      <c r="J55" s="1" t="str" cm="1">
        <f t="array" ref="J55">INDEX(Q:Q,MATCH(1, (W:W=E55)*(V:V&gt;=C55-L55)*(V:V&lt;=C55+L55), 0))</f>
        <v>MESH26</v>
      </c>
      <c r="K55" s="22">
        <f t="shared" si="16"/>
        <v>46101</v>
      </c>
      <c r="L55" s="1">
        <v>20</v>
      </c>
      <c r="M55" s="1">
        <f t="shared" si="17"/>
        <v>0</v>
      </c>
      <c r="Q55" s="18" t="s">
        <v>139</v>
      </c>
      <c r="R55" s="2">
        <v>43068</v>
      </c>
      <c r="S55" s="2">
        <v>47693</v>
      </c>
      <c r="T55" s="2">
        <v>47693</v>
      </c>
      <c r="U55" s="37" t="s">
        <v>422</v>
      </c>
      <c r="V55" s="2">
        <f t="shared" si="8"/>
        <v>47693</v>
      </c>
      <c r="W55" t="str">
        <f t="shared" si="9"/>
        <v>NG</v>
      </c>
      <c r="X55" s="35" t="str">
        <f t="shared" si="7"/>
        <v>NYMEX</v>
      </c>
    </row>
    <row r="56" spans="1:24" x14ac:dyDescent="0.2">
      <c r="A56" s="18" t="s">
        <v>578</v>
      </c>
      <c r="B56" s="1" t="s">
        <v>579</v>
      </c>
      <c r="C56" s="22">
        <v>46192</v>
      </c>
      <c r="D56" s="1" t="str">
        <f t="shared" si="0"/>
        <v>SPYF</v>
      </c>
      <c r="E56" s="23" t="s">
        <v>567</v>
      </c>
      <c r="F56" s="13" t="str">
        <f t="shared" si="12"/>
        <v>RUS:SFM2026-CME_MINI:MESM2026</v>
      </c>
      <c r="G56" s="22">
        <f t="shared" si="13"/>
        <v>46191</v>
      </c>
      <c r="H56" s="1" t="str">
        <f t="shared" si="14"/>
        <v>SPYF-6.26</v>
      </c>
      <c r="I56" s="23" t="str">
        <f t="shared" si="15"/>
        <v>QR_MESM6</v>
      </c>
      <c r="J56" s="1" t="str" cm="1">
        <f t="array" ref="J56">INDEX(Q:Q,MATCH(1, (W:W=E56)*(V:V&gt;=C56-L56)*(V:V&lt;=C56+L56), 0))</f>
        <v>MESM26</v>
      </c>
      <c r="K56" s="22">
        <f t="shared" si="16"/>
        <v>46191</v>
      </c>
      <c r="L56" s="1">
        <v>21</v>
      </c>
      <c r="M56" s="1">
        <f t="shared" si="17"/>
        <v>-1</v>
      </c>
      <c r="Q56" s="18" t="s">
        <v>140</v>
      </c>
      <c r="R56" s="2">
        <v>43068</v>
      </c>
      <c r="S56" s="2">
        <v>47723</v>
      </c>
      <c r="T56" s="2">
        <v>47723</v>
      </c>
      <c r="U56" s="37" t="s">
        <v>422</v>
      </c>
      <c r="V56" s="2">
        <f t="shared" si="8"/>
        <v>47723</v>
      </c>
      <c r="W56" t="str">
        <f t="shared" si="9"/>
        <v>NG</v>
      </c>
      <c r="X56" s="35" t="str">
        <f t="shared" si="7"/>
        <v>NYMEX</v>
      </c>
    </row>
    <row r="57" spans="1:24" x14ac:dyDescent="0.2">
      <c r="A57" s="18" t="s">
        <v>582</v>
      </c>
      <c r="B57" s="1" t="s">
        <v>583</v>
      </c>
      <c r="C57" s="22">
        <v>46283</v>
      </c>
      <c r="D57" s="1" t="str">
        <f t="shared" si="0"/>
        <v>SPYF</v>
      </c>
      <c r="E57" s="23" t="s">
        <v>567</v>
      </c>
      <c r="F57" s="13" t="str">
        <f t="shared" si="12"/>
        <v>RUS:SFU2026-CME_MINI:MESU2026</v>
      </c>
      <c r="G57" s="22">
        <f t="shared" si="13"/>
        <v>46283</v>
      </c>
      <c r="H57" s="1" t="str">
        <f t="shared" si="14"/>
        <v>SPYF-9.26</v>
      </c>
      <c r="I57" s="23" t="str">
        <f t="shared" si="15"/>
        <v>QR_MESU6</v>
      </c>
      <c r="J57" s="1" t="str" cm="1">
        <f t="array" ref="J57">INDEX(Q:Q,MATCH(1, (W:W=E57)*(V:V&gt;=C57-L57)*(V:V&lt;=C57+L57), 0))</f>
        <v>MESU26</v>
      </c>
      <c r="K57" s="22">
        <f t="shared" si="16"/>
        <v>46283</v>
      </c>
      <c r="L57" s="1">
        <v>22</v>
      </c>
      <c r="M57" s="1">
        <f t="shared" si="17"/>
        <v>0</v>
      </c>
      <c r="Q57" s="18" t="s">
        <v>141</v>
      </c>
      <c r="R57" s="2">
        <v>43068</v>
      </c>
      <c r="S57" s="2">
        <v>47752</v>
      </c>
      <c r="T57" s="2">
        <v>47752</v>
      </c>
      <c r="U57" s="37" t="s">
        <v>422</v>
      </c>
      <c r="V57" s="2">
        <f t="shared" si="8"/>
        <v>47752</v>
      </c>
      <c r="W57" t="str">
        <f t="shared" si="9"/>
        <v>NG</v>
      </c>
      <c r="X57" s="35" t="str">
        <f t="shared" si="7"/>
        <v>NYMEX</v>
      </c>
    </row>
    <row r="58" spans="1:24" x14ac:dyDescent="0.2">
      <c r="A58" s="18" t="s">
        <v>586</v>
      </c>
      <c r="B58" s="1" t="s">
        <v>587</v>
      </c>
      <c r="C58" s="22">
        <v>46374</v>
      </c>
      <c r="D58" s="1" t="str">
        <f t="shared" si="0"/>
        <v>SPYF</v>
      </c>
      <c r="E58" s="23" t="s">
        <v>567</v>
      </c>
      <c r="F58" s="13" t="str">
        <f t="shared" si="12"/>
        <v>RUS:SFZ2026-CME_MINI:MESZ2026</v>
      </c>
      <c r="G58" s="22">
        <f t="shared" si="13"/>
        <v>46374</v>
      </c>
      <c r="H58" s="1" t="str">
        <f t="shared" si="14"/>
        <v>SPYF-12.26</v>
      </c>
      <c r="I58" s="23" t="str">
        <f t="shared" si="15"/>
        <v>QR_MESZ6</v>
      </c>
      <c r="J58" s="1" t="str" cm="1">
        <f t="array" ref="J58">INDEX(Q:Q,MATCH(1, (W:W=E58)*(V:V&gt;=C58-L58)*(V:V&lt;=C58+L58), 0))</f>
        <v>MESZ26</v>
      </c>
      <c r="K58" s="22">
        <f t="shared" si="16"/>
        <v>46374</v>
      </c>
      <c r="L58" s="1">
        <v>23</v>
      </c>
      <c r="M58" s="1">
        <f t="shared" si="17"/>
        <v>0</v>
      </c>
      <c r="Q58" s="18" t="s">
        <v>142</v>
      </c>
      <c r="R58" s="2">
        <v>43068</v>
      </c>
      <c r="S58" s="2">
        <v>47785</v>
      </c>
      <c r="T58" s="2">
        <v>47785</v>
      </c>
      <c r="U58" s="37" t="s">
        <v>422</v>
      </c>
      <c r="V58" s="2">
        <f t="shared" si="8"/>
        <v>47785</v>
      </c>
      <c r="W58" t="str">
        <f t="shared" si="9"/>
        <v>NG</v>
      </c>
      <c r="X58" s="35" t="str">
        <f t="shared" si="7"/>
        <v>NYMEX</v>
      </c>
    </row>
    <row r="59" spans="1:24" x14ac:dyDescent="0.2">
      <c r="Q59" s="18" t="s">
        <v>143</v>
      </c>
      <c r="R59" s="2">
        <v>43068</v>
      </c>
      <c r="S59" s="2">
        <v>47813</v>
      </c>
      <c r="T59" s="2">
        <v>47813</v>
      </c>
      <c r="U59" s="37" t="s">
        <v>422</v>
      </c>
      <c r="V59" s="2">
        <f t="shared" si="8"/>
        <v>47813</v>
      </c>
      <c r="W59" t="str">
        <f t="shared" si="9"/>
        <v>NG</v>
      </c>
      <c r="X59" s="35" t="str">
        <f t="shared" si="7"/>
        <v>NYMEX</v>
      </c>
    </row>
    <row r="60" spans="1:24" x14ac:dyDescent="0.2">
      <c r="Q60" s="18" t="s">
        <v>144</v>
      </c>
      <c r="R60" s="2">
        <v>43433</v>
      </c>
      <c r="S60" s="2">
        <v>47844</v>
      </c>
      <c r="T60" s="2">
        <v>47844</v>
      </c>
      <c r="U60" s="37" t="s">
        <v>422</v>
      </c>
      <c r="V60" s="2">
        <f t="shared" si="8"/>
        <v>47844</v>
      </c>
      <c r="W60" t="str">
        <f t="shared" si="9"/>
        <v>NG</v>
      </c>
      <c r="X60" s="35" t="str">
        <f t="shared" si="7"/>
        <v>NYMEX</v>
      </c>
    </row>
    <row r="61" spans="1:24" x14ac:dyDescent="0.2">
      <c r="Q61" s="18" t="s">
        <v>145</v>
      </c>
      <c r="R61" s="2">
        <v>43433</v>
      </c>
      <c r="S61" s="2">
        <v>47877</v>
      </c>
      <c r="T61" s="2">
        <v>47877</v>
      </c>
      <c r="U61" s="37" t="s">
        <v>422</v>
      </c>
      <c r="V61" s="2">
        <f t="shared" si="8"/>
        <v>47877</v>
      </c>
      <c r="W61" t="str">
        <f t="shared" si="9"/>
        <v>NG</v>
      </c>
      <c r="X61" s="35" t="str">
        <f t="shared" si="7"/>
        <v>NYMEX</v>
      </c>
    </row>
    <row r="62" spans="1:24" x14ac:dyDescent="0.2">
      <c r="Q62" s="18" t="s">
        <v>146</v>
      </c>
      <c r="R62" s="2">
        <v>43433</v>
      </c>
      <c r="S62" s="2">
        <v>47905</v>
      </c>
      <c r="T62" s="2">
        <v>47905</v>
      </c>
      <c r="U62" s="37" t="s">
        <v>422</v>
      </c>
      <c r="V62" s="2">
        <f t="shared" si="8"/>
        <v>47905</v>
      </c>
      <c r="W62" t="str">
        <f t="shared" si="9"/>
        <v>NG</v>
      </c>
      <c r="X62" s="35" t="str">
        <f t="shared" si="7"/>
        <v>NYMEX</v>
      </c>
    </row>
    <row r="63" spans="1:24" x14ac:dyDescent="0.2">
      <c r="Q63" s="18" t="s">
        <v>147</v>
      </c>
      <c r="R63" s="2">
        <v>43433</v>
      </c>
      <c r="S63" s="2">
        <v>47934</v>
      </c>
      <c r="T63" s="2">
        <v>47934</v>
      </c>
      <c r="U63" s="37" t="s">
        <v>422</v>
      </c>
      <c r="V63" s="2">
        <f t="shared" si="8"/>
        <v>47934</v>
      </c>
      <c r="W63" t="str">
        <f t="shared" si="9"/>
        <v>NG</v>
      </c>
      <c r="X63" s="35" t="str">
        <f t="shared" si="7"/>
        <v>NYMEX</v>
      </c>
    </row>
    <row r="64" spans="1:24" x14ac:dyDescent="0.2">
      <c r="Q64" s="18" t="s">
        <v>148</v>
      </c>
      <c r="R64" s="2">
        <v>43433</v>
      </c>
      <c r="S64" s="2">
        <v>47966</v>
      </c>
      <c r="T64" s="2">
        <v>47966</v>
      </c>
      <c r="U64" s="37" t="s">
        <v>422</v>
      </c>
      <c r="V64" s="2">
        <f t="shared" si="8"/>
        <v>47966</v>
      </c>
      <c r="W64" t="str">
        <f t="shared" si="9"/>
        <v>NG</v>
      </c>
      <c r="X64" s="35" t="str">
        <f t="shared" si="7"/>
        <v>NYMEX</v>
      </c>
    </row>
    <row r="65" spans="17:24" x14ac:dyDescent="0.2">
      <c r="Q65" s="18" t="s">
        <v>149</v>
      </c>
      <c r="R65" s="2">
        <v>43433</v>
      </c>
      <c r="S65" s="2">
        <v>47996</v>
      </c>
      <c r="T65" s="2">
        <v>47996</v>
      </c>
      <c r="U65" s="37" t="s">
        <v>422</v>
      </c>
      <c r="V65" s="2">
        <f t="shared" si="8"/>
        <v>47996</v>
      </c>
      <c r="W65" t="str">
        <f t="shared" si="9"/>
        <v>NG</v>
      </c>
      <c r="X65" s="35" t="str">
        <f t="shared" si="7"/>
        <v>NYMEX</v>
      </c>
    </row>
    <row r="66" spans="17:24" x14ac:dyDescent="0.2">
      <c r="Q66" s="18" t="s">
        <v>150</v>
      </c>
      <c r="R66" s="2">
        <v>43433</v>
      </c>
      <c r="S66" s="2">
        <v>48025</v>
      </c>
      <c r="T66" s="2">
        <v>48025</v>
      </c>
      <c r="U66" s="37" t="s">
        <v>422</v>
      </c>
      <c r="V66" s="2">
        <f t="shared" si="8"/>
        <v>48025</v>
      </c>
      <c r="W66" t="str">
        <f t="shared" si="9"/>
        <v>NG</v>
      </c>
      <c r="X66" s="35" t="str">
        <f t="shared" si="7"/>
        <v>NYMEX</v>
      </c>
    </row>
    <row r="67" spans="17:24" x14ac:dyDescent="0.2">
      <c r="Q67" s="18" t="s">
        <v>151</v>
      </c>
      <c r="R67" s="2">
        <v>43433</v>
      </c>
      <c r="S67" s="2">
        <v>48058</v>
      </c>
      <c r="T67" s="2">
        <v>48058</v>
      </c>
      <c r="U67" s="37" t="s">
        <v>422</v>
      </c>
      <c r="V67" s="2">
        <f t="shared" si="8"/>
        <v>48058</v>
      </c>
      <c r="W67" t="str">
        <f t="shared" si="9"/>
        <v>NG</v>
      </c>
      <c r="X67" s="35" t="str">
        <f t="shared" ref="X67:X130" si="18">IFERROR(INDEX(AD:AD, MATCH(W67,AC:AC,0)),"---")</f>
        <v>NYMEX</v>
      </c>
    </row>
    <row r="68" spans="17:24" x14ac:dyDescent="0.2">
      <c r="Q68" s="18" t="s">
        <v>152</v>
      </c>
      <c r="R68" s="2">
        <v>43433</v>
      </c>
      <c r="S68" s="2">
        <v>48087</v>
      </c>
      <c r="T68" s="2">
        <v>48087</v>
      </c>
      <c r="U68" s="37" t="s">
        <v>422</v>
      </c>
      <c r="V68" s="2">
        <f t="shared" ref="V68:V131" si="19">MIN(S68:U68)</f>
        <v>48087</v>
      </c>
      <c r="W68" t="str">
        <f t="shared" ref="W68:W131" si="20">MID(Q68,1,LEN(Q68)-3)</f>
        <v>NG</v>
      </c>
      <c r="X68" s="35" t="str">
        <f t="shared" si="18"/>
        <v>NYMEX</v>
      </c>
    </row>
    <row r="69" spans="17:24" x14ac:dyDescent="0.2">
      <c r="Q69" s="18" t="s">
        <v>153</v>
      </c>
      <c r="R69" s="2">
        <v>43433</v>
      </c>
      <c r="S69" s="2">
        <v>48117</v>
      </c>
      <c r="T69" s="2">
        <v>48117</v>
      </c>
      <c r="U69" s="37" t="s">
        <v>422</v>
      </c>
      <c r="V69" s="2">
        <f t="shared" si="19"/>
        <v>48117</v>
      </c>
      <c r="W69" t="str">
        <f t="shared" si="20"/>
        <v>NG</v>
      </c>
      <c r="X69" s="35" t="str">
        <f t="shared" si="18"/>
        <v>NYMEX</v>
      </c>
    </row>
    <row r="70" spans="17:24" x14ac:dyDescent="0.2">
      <c r="Q70" s="18" t="s">
        <v>154</v>
      </c>
      <c r="R70" s="2">
        <v>43433</v>
      </c>
      <c r="S70" s="2">
        <v>48150</v>
      </c>
      <c r="T70" s="2">
        <v>48150</v>
      </c>
      <c r="U70" s="37" t="s">
        <v>422</v>
      </c>
      <c r="V70" s="2">
        <f t="shared" si="19"/>
        <v>48150</v>
      </c>
      <c r="W70" t="str">
        <f t="shared" si="20"/>
        <v>NG</v>
      </c>
      <c r="X70" s="35" t="str">
        <f t="shared" si="18"/>
        <v>NYMEX</v>
      </c>
    </row>
    <row r="71" spans="17:24" x14ac:dyDescent="0.2">
      <c r="Q71" s="18" t="s">
        <v>155</v>
      </c>
      <c r="R71" s="2">
        <v>43433</v>
      </c>
      <c r="S71" s="2">
        <v>48177</v>
      </c>
      <c r="T71" s="2">
        <v>48177</v>
      </c>
      <c r="U71" s="37" t="s">
        <v>422</v>
      </c>
      <c r="V71" s="2">
        <f t="shared" si="19"/>
        <v>48177</v>
      </c>
      <c r="W71" t="str">
        <f t="shared" si="20"/>
        <v>NG</v>
      </c>
      <c r="X71" s="35" t="str">
        <f t="shared" si="18"/>
        <v>NYMEX</v>
      </c>
    </row>
    <row r="72" spans="17:24" x14ac:dyDescent="0.2">
      <c r="Q72" s="18" t="s">
        <v>156</v>
      </c>
      <c r="R72" s="2">
        <v>43796</v>
      </c>
      <c r="S72" s="2">
        <v>48211</v>
      </c>
      <c r="T72" s="2">
        <v>48211</v>
      </c>
      <c r="U72" s="37" t="s">
        <v>422</v>
      </c>
      <c r="V72" s="2">
        <f t="shared" si="19"/>
        <v>48211</v>
      </c>
      <c r="W72" t="str">
        <f t="shared" si="20"/>
        <v>NG</v>
      </c>
      <c r="X72" s="35" t="str">
        <f t="shared" si="18"/>
        <v>NYMEX</v>
      </c>
    </row>
    <row r="73" spans="17:24" x14ac:dyDescent="0.2">
      <c r="Q73" s="18" t="s">
        <v>157</v>
      </c>
      <c r="R73" s="2">
        <v>43796</v>
      </c>
      <c r="S73" s="2">
        <v>48241</v>
      </c>
      <c r="T73" s="2">
        <v>48241</v>
      </c>
      <c r="U73" s="37" t="s">
        <v>422</v>
      </c>
      <c r="V73" s="2">
        <f t="shared" si="19"/>
        <v>48241</v>
      </c>
      <c r="W73" t="str">
        <f t="shared" si="20"/>
        <v>NG</v>
      </c>
      <c r="X73" s="35" t="str">
        <f t="shared" si="18"/>
        <v>NYMEX</v>
      </c>
    </row>
    <row r="74" spans="17:24" x14ac:dyDescent="0.2">
      <c r="Q74" s="18" t="s">
        <v>158</v>
      </c>
      <c r="R74" s="2">
        <v>43796</v>
      </c>
      <c r="S74" s="2">
        <v>48269</v>
      </c>
      <c r="T74" s="2">
        <v>48269</v>
      </c>
      <c r="U74" s="37" t="s">
        <v>422</v>
      </c>
      <c r="V74" s="2">
        <f t="shared" si="19"/>
        <v>48269</v>
      </c>
      <c r="W74" t="str">
        <f t="shared" si="20"/>
        <v>NG</v>
      </c>
      <c r="X74" s="35" t="str">
        <f t="shared" si="18"/>
        <v>NYMEX</v>
      </c>
    </row>
    <row r="75" spans="17:24" x14ac:dyDescent="0.2">
      <c r="Q75" s="18" t="s">
        <v>159</v>
      </c>
      <c r="R75" s="2">
        <v>43796</v>
      </c>
      <c r="S75" s="2">
        <v>48302</v>
      </c>
      <c r="T75" s="2">
        <v>48302</v>
      </c>
      <c r="U75" s="37" t="s">
        <v>422</v>
      </c>
      <c r="V75" s="2">
        <f t="shared" si="19"/>
        <v>48302</v>
      </c>
      <c r="W75" t="str">
        <f t="shared" si="20"/>
        <v>NG</v>
      </c>
      <c r="X75" s="35" t="str">
        <f t="shared" si="18"/>
        <v>NYMEX</v>
      </c>
    </row>
    <row r="76" spans="17:24" x14ac:dyDescent="0.2">
      <c r="Q76" s="18" t="s">
        <v>160</v>
      </c>
      <c r="R76" s="2">
        <v>43796</v>
      </c>
      <c r="S76" s="2">
        <v>48332</v>
      </c>
      <c r="T76" s="2">
        <v>48332</v>
      </c>
      <c r="U76" s="37" t="s">
        <v>422</v>
      </c>
      <c r="V76" s="2">
        <f t="shared" si="19"/>
        <v>48332</v>
      </c>
      <c r="W76" t="str">
        <f t="shared" si="20"/>
        <v>NG</v>
      </c>
      <c r="X76" s="35" t="str">
        <f t="shared" si="18"/>
        <v>NYMEX</v>
      </c>
    </row>
    <row r="77" spans="17:24" x14ac:dyDescent="0.2">
      <c r="Q77" s="18" t="s">
        <v>161</v>
      </c>
      <c r="R77" s="2">
        <v>43796</v>
      </c>
      <c r="S77" s="2">
        <v>48360</v>
      </c>
      <c r="T77" s="2">
        <v>48360</v>
      </c>
      <c r="U77" s="37" t="s">
        <v>422</v>
      </c>
      <c r="V77" s="2">
        <f t="shared" si="19"/>
        <v>48360</v>
      </c>
      <c r="W77" t="str">
        <f t="shared" si="20"/>
        <v>NG</v>
      </c>
      <c r="X77" s="35" t="str">
        <f t="shared" si="18"/>
        <v>NYMEX</v>
      </c>
    </row>
    <row r="78" spans="17:24" x14ac:dyDescent="0.2">
      <c r="Q78" s="18" t="s">
        <v>162</v>
      </c>
      <c r="R78" s="2">
        <v>43796</v>
      </c>
      <c r="S78" s="2">
        <v>48393</v>
      </c>
      <c r="T78" s="2">
        <v>48393</v>
      </c>
      <c r="U78" s="37" t="s">
        <v>422</v>
      </c>
      <c r="V78" s="2">
        <f t="shared" si="19"/>
        <v>48393</v>
      </c>
      <c r="W78" t="str">
        <f t="shared" si="20"/>
        <v>NG</v>
      </c>
      <c r="X78" s="35" t="str">
        <f t="shared" si="18"/>
        <v>NYMEX</v>
      </c>
    </row>
    <row r="79" spans="17:24" x14ac:dyDescent="0.2">
      <c r="Q79" s="18" t="s">
        <v>163</v>
      </c>
      <c r="R79" s="2">
        <v>43796</v>
      </c>
      <c r="S79" s="2">
        <v>48423</v>
      </c>
      <c r="T79" s="2">
        <v>48423</v>
      </c>
      <c r="U79" s="37" t="s">
        <v>422</v>
      </c>
      <c r="V79" s="2">
        <f t="shared" si="19"/>
        <v>48423</v>
      </c>
      <c r="W79" t="str">
        <f t="shared" si="20"/>
        <v>NG</v>
      </c>
      <c r="X79" s="35" t="str">
        <f t="shared" si="18"/>
        <v>NYMEX</v>
      </c>
    </row>
    <row r="80" spans="17:24" x14ac:dyDescent="0.2">
      <c r="Q80" s="18" t="s">
        <v>164</v>
      </c>
      <c r="R80" s="2">
        <v>43796</v>
      </c>
      <c r="S80" s="2">
        <v>48453</v>
      </c>
      <c r="T80" s="2">
        <v>48453</v>
      </c>
      <c r="U80" s="37" t="s">
        <v>422</v>
      </c>
      <c r="V80" s="2">
        <f t="shared" si="19"/>
        <v>48453</v>
      </c>
      <c r="W80" t="str">
        <f t="shared" si="20"/>
        <v>NG</v>
      </c>
      <c r="X80" s="35" t="str">
        <f t="shared" si="18"/>
        <v>NYMEX</v>
      </c>
    </row>
    <row r="81" spans="17:24" x14ac:dyDescent="0.2">
      <c r="Q81" s="18" t="s">
        <v>165</v>
      </c>
      <c r="R81" s="2">
        <v>43796</v>
      </c>
      <c r="S81" s="2">
        <v>48485</v>
      </c>
      <c r="T81" s="2">
        <v>48485</v>
      </c>
      <c r="U81" s="37" t="s">
        <v>422</v>
      </c>
      <c r="V81" s="2">
        <f t="shared" si="19"/>
        <v>48485</v>
      </c>
      <c r="W81" t="str">
        <f t="shared" si="20"/>
        <v>NG</v>
      </c>
      <c r="X81" s="35" t="str">
        <f t="shared" si="18"/>
        <v>NYMEX</v>
      </c>
    </row>
    <row r="82" spans="17:24" x14ac:dyDescent="0.2">
      <c r="Q82" s="18" t="s">
        <v>166</v>
      </c>
      <c r="R82" s="2">
        <v>43796</v>
      </c>
      <c r="S82" s="2">
        <v>48514</v>
      </c>
      <c r="T82" s="2">
        <v>48514</v>
      </c>
      <c r="U82" s="37" t="s">
        <v>422</v>
      </c>
      <c r="V82" s="2">
        <f t="shared" si="19"/>
        <v>48514</v>
      </c>
      <c r="W82" t="str">
        <f t="shared" si="20"/>
        <v>NG</v>
      </c>
      <c r="X82" s="35" t="str">
        <f t="shared" si="18"/>
        <v>NYMEX</v>
      </c>
    </row>
    <row r="83" spans="17:24" x14ac:dyDescent="0.2">
      <c r="Q83" s="18" t="s">
        <v>167</v>
      </c>
      <c r="R83" s="2">
        <v>43796</v>
      </c>
      <c r="S83" s="2">
        <v>48544</v>
      </c>
      <c r="T83" s="2">
        <v>48544</v>
      </c>
      <c r="U83" s="37" t="s">
        <v>422</v>
      </c>
      <c r="V83" s="2">
        <f t="shared" si="19"/>
        <v>48544</v>
      </c>
      <c r="W83" t="str">
        <f t="shared" si="20"/>
        <v>NG</v>
      </c>
      <c r="X83" s="35" t="str">
        <f t="shared" si="18"/>
        <v>NYMEX</v>
      </c>
    </row>
    <row r="84" spans="17:24" x14ac:dyDescent="0.2">
      <c r="Q84" s="18" t="s">
        <v>168</v>
      </c>
      <c r="R84" s="2">
        <v>44162</v>
      </c>
      <c r="S84" s="2">
        <v>48577</v>
      </c>
      <c r="T84" s="2">
        <v>48577</v>
      </c>
      <c r="U84" s="37" t="s">
        <v>422</v>
      </c>
      <c r="V84" s="2">
        <f t="shared" si="19"/>
        <v>48577</v>
      </c>
      <c r="W84" t="str">
        <f t="shared" si="20"/>
        <v>NG</v>
      </c>
      <c r="X84" s="35" t="str">
        <f t="shared" si="18"/>
        <v>NYMEX</v>
      </c>
    </row>
    <row r="85" spans="17:24" x14ac:dyDescent="0.2">
      <c r="Q85" s="18" t="s">
        <v>169</v>
      </c>
      <c r="R85" s="2">
        <v>44162</v>
      </c>
      <c r="S85" s="2">
        <v>48606</v>
      </c>
      <c r="T85" s="2">
        <v>48606</v>
      </c>
      <c r="U85" s="37" t="s">
        <v>422</v>
      </c>
      <c r="V85" s="2">
        <f t="shared" si="19"/>
        <v>48606</v>
      </c>
      <c r="W85" t="str">
        <f t="shared" si="20"/>
        <v>NG</v>
      </c>
      <c r="X85" s="35" t="str">
        <f t="shared" si="18"/>
        <v>NYMEX</v>
      </c>
    </row>
    <row r="86" spans="17:24" x14ac:dyDescent="0.2">
      <c r="Q86" s="18" t="s">
        <v>170</v>
      </c>
      <c r="R86" s="2">
        <v>44162</v>
      </c>
      <c r="S86" s="2">
        <v>48634</v>
      </c>
      <c r="T86" s="2">
        <v>48634</v>
      </c>
      <c r="U86" s="37" t="s">
        <v>422</v>
      </c>
      <c r="V86" s="2">
        <f t="shared" si="19"/>
        <v>48634</v>
      </c>
      <c r="W86" t="str">
        <f t="shared" si="20"/>
        <v>NG</v>
      </c>
      <c r="X86" s="35" t="str">
        <f t="shared" si="18"/>
        <v>NYMEX</v>
      </c>
    </row>
    <row r="87" spans="17:24" x14ac:dyDescent="0.2">
      <c r="Q87" s="18" t="s">
        <v>171</v>
      </c>
      <c r="R87" s="2">
        <v>44162</v>
      </c>
      <c r="S87" s="2">
        <v>48667</v>
      </c>
      <c r="T87" s="2">
        <v>48667</v>
      </c>
      <c r="U87" s="37" t="s">
        <v>422</v>
      </c>
      <c r="V87" s="2">
        <f t="shared" si="19"/>
        <v>48667</v>
      </c>
      <c r="W87" t="str">
        <f t="shared" si="20"/>
        <v>NG</v>
      </c>
      <c r="X87" s="35" t="str">
        <f t="shared" si="18"/>
        <v>NYMEX</v>
      </c>
    </row>
    <row r="88" spans="17:24" x14ac:dyDescent="0.2">
      <c r="Q88" s="18" t="s">
        <v>172</v>
      </c>
      <c r="R88" s="2">
        <v>44162</v>
      </c>
      <c r="S88" s="2">
        <v>48696</v>
      </c>
      <c r="T88" s="2">
        <v>48696</v>
      </c>
      <c r="U88" s="37" t="s">
        <v>422</v>
      </c>
      <c r="V88" s="2">
        <f t="shared" si="19"/>
        <v>48696</v>
      </c>
      <c r="W88" t="str">
        <f t="shared" si="20"/>
        <v>NG</v>
      </c>
      <c r="X88" s="35" t="str">
        <f t="shared" si="18"/>
        <v>NYMEX</v>
      </c>
    </row>
    <row r="89" spans="17:24" x14ac:dyDescent="0.2">
      <c r="Q89" s="18" t="s">
        <v>173</v>
      </c>
      <c r="R89" s="2">
        <v>44162</v>
      </c>
      <c r="S89" s="2">
        <v>48725</v>
      </c>
      <c r="T89" s="2">
        <v>48725</v>
      </c>
      <c r="U89" s="37" t="s">
        <v>422</v>
      </c>
      <c r="V89" s="2">
        <f t="shared" si="19"/>
        <v>48725</v>
      </c>
      <c r="W89" t="str">
        <f t="shared" si="20"/>
        <v>NG</v>
      </c>
      <c r="X89" s="35" t="str">
        <f t="shared" si="18"/>
        <v>NYMEX</v>
      </c>
    </row>
    <row r="90" spans="17:24" x14ac:dyDescent="0.2">
      <c r="Q90" s="18" t="s">
        <v>174</v>
      </c>
      <c r="R90" s="2">
        <v>44162</v>
      </c>
      <c r="S90" s="2">
        <v>48758</v>
      </c>
      <c r="T90" s="2">
        <v>48758</v>
      </c>
      <c r="U90" s="37" t="s">
        <v>422</v>
      </c>
      <c r="V90" s="2">
        <f t="shared" si="19"/>
        <v>48758</v>
      </c>
      <c r="W90" t="str">
        <f t="shared" si="20"/>
        <v>NG</v>
      </c>
      <c r="X90" s="35" t="str">
        <f t="shared" si="18"/>
        <v>NYMEX</v>
      </c>
    </row>
    <row r="91" spans="17:24" x14ac:dyDescent="0.2">
      <c r="Q91" s="18" t="s">
        <v>175</v>
      </c>
      <c r="R91" s="2">
        <v>44162</v>
      </c>
      <c r="S91" s="2">
        <v>48787</v>
      </c>
      <c r="T91" s="2">
        <v>48787</v>
      </c>
      <c r="U91" s="37" t="s">
        <v>422</v>
      </c>
      <c r="V91" s="2">
        <f t="shared" si="19"/>
        <v>48787</v>
      </c>
      <c r="W91" t="str">
        <f t="shared" si="20"/>
        <v>NG</v>
      </c>
      <c r="X91" s="35" t="str">
        <f t="shared" si="18"/>
        <v>NYMEX</v>
      </c>
    </row>
    <row r="92" spans="17:24" x14ac:dyDescent="0.2">
      <c r="Q92" s="18" t="s">
        <v>176</v>
      </c>
      <c r="R92" s="2">
        <v>44162</v>
      </c>
      <c r="S92" s="2">
        <v>48820</v>
      </c>
      <c r="T92" s="2">
        <v>48820</v>
      </c>
      <c r="U92" s="37" t="s">
        <v>422</v>
      </c>
      <c r="V92" s="2">
        <f t="shared" si="19"/>
        <v>48820</v>
      </c>
      <c r="W92" t="str">
        <f t="shared" si="20"/>
        <v>NG</v>
      </c>
      <c r="X92" s="35" t="str">
        <f t="shared" si="18"/>
        <v>NYMEX</v>
      </c>
    </row>
    <row r="93" spans="17:24" x14ac:dyDescent="0.2">
      <c r="Q93" s="18" t="s">
        <v>177</v>
      </c>
      <c r="R93" s="2">
        <v>44162</v>
      </c>
      <c r="S93" s="2">
        <v>48850</v>
      </c>
      <c r="T93" s="2">
        <v>48850</v>
      </c>
      <c r="U93" s="37" t="s">
        <v>422</v>
      </c>
      <c r="V93" s="2">
        <f t="shared" si="19"/>
        <v>48850</v>
      </c>
      <c r="W93" t="str">
        <f t="shared" si="20"/>
        <v>NG</v>
      </c>
      <c r="X93" s="35" t="str">
        <f t="shared" si="18"/>
        <v>NYMEX</v>
      </c>
    </row>
    <row r="94" spans="17:24" x14ac:dyDescent="0.2">
      <c r="Q94" s="18" t="s">
        <v>178</v>
      </c>
      <c r="R94" s="2">
        <v>44162</v>
      </c>
      <c r="S94" s="2">
        <v>48879</v>
      </c>
      <c r="T94" s="2">
        <v>48879</v>
      </c>
      <c r="U94" s="37" t="s">
        <v>422</v>
      </c>
      <c r="V94" s="2">
        <f t="shared" si="19"/>
        <v>48879</v>
      </c>
      <c r="W94" t="str">
        <f t="shared" si="20"/>
        <v>NG</v>
      </c>
      <c r="X94" s="35" t="str">
        <f t="shared" si="18"/>
        <v>NYMEX</v>
      </c>
    </row>
    <row r="95" spans="17:24" x14ac:dyDescent="0.2">
      <c r="Q95" s="18" t="s">
        <v>179</v>
      </c>
      <c r="R95" s="2">
        <v>44162</v>
      </c>
      <c r="S95" s="2">
        <v>48911</v>
      </c>
      <c r="T95" s="2">
        <v>48911</v>
      </c>
      <c r="U95" s="37" t="s">
        <v>422</v>
      </c>
      <c r="V95" s="2">
        <f t="shared" si="19"/>
        <v>48911</v>
      </c>
      <c r="W95" t="str">
        <f t="shared" si="20"/>
        <v>NG</v>
      </c>
      <c r="X95" s="35" t="str">
        <f t="shared" si="18"/>
        <v>NYMEX</v>
      </c>
    </row>
    <row r="96" spans="17:24" x14ac:dyDescent="0.2">
      <c r="Q96" s="18" t="s">
        <v>180</v>
      </c>
      <c r="R96" s="2">
        <v>44529</v>
      </c>
      <c r="S96" s="2">
        <v>48941</v>
      </c>
      <c r="T96" s="2">
        <v>48941</v>
      </c>
      <c r="U96" s="37" t="s">
        <v>422</v>
      </c>
      <c r="V96" s="2">
        <f t="shared" si="19"/>
        <v>48941</v>
      </c>
      <c r="W96" t="str">
        <f t="shared" si="20"/>
        <v>NG</v>
      </c>
      <c r="X96" s="35" t="str">
        <f t="shared" si="18"/>
        <v>NYMEX</v>
      </c>
    </row>
    <row r="97" spans="17:24" x14ac:dyDescent="0.2">
      <c r="Q97" s="18" t="s">
        <v>181</v>
      </c>
      <c r="R97" s="2">
        <v>44529</v>
      </c>
      <c r="S97" s="2">
        <v>48971</v>
      </c>
      <c r="T97" s="2">
        <v>48971</v>
      </c>
      <c r="U97" s="37" t="s">
        <v>422</v>
      </c>
      <c r="V97" s="2">
        <f t="shared" si="19"/>
        <v>48971</v>
      </c>
      <c r="W97" t="str">
        <f t="shared" si="20"/>
        <v>NG</v>
      </c>
      <c r="X97" s="35" t="str">
        <f t="shared" si="18"/>
        <v>NYMEX</v>
      </c>
    </row>
    <row r="98" spans="17:24" x14ac:dyDescent="0.2">
      <c r="Q98" s="18" t="s">
        <v>182</v>
      </c>
      <c r="R98" s="2">
        <v>44529</v>
      </c>
      <c r="S98" s="2">
        <v>48999</v>
      </c>
      <c r="T98" s="2">
        <v>48999</v>
      </c>
      <c r="U98" s="37" t="s">
        <v>422</v>
      </c>
      <c r="V98" s="2">
        <f t="shared" si="19"/>
        <v>48999</v>
      </c>
      <c r="W98" t="str">
        <f t="shared" si="20"/>
        <v>NG</v>
      </c>
      <c r="X98" s="35" t="str">
        <f t="shared" si="18"/>
        <v>NYMEX</v>
      </c>
    </row>
    <row r="99" spans="17:24" x14ac:dyDescent="0.2">
      <c r="Q99" s="18" t="s">
        <v>183</v>
      </c>
      <c r="R99" s="2">
        <v>44529</v>
      </c>
      <c r="S99" s="2">
        <v>49032</v>
      </c>
      <c r="T99" s="2">
        <v>49032</v>
      </c>
      <c r="U99" s="37" t="s">
        <v>422</v>
      </c>
      <c r="V99" s="2">
        <f t="shared" si="19"/>
        <v>49032</v>
      </c>
      <c r="W99" t="str">
        <f t="shared" si="20"/>
        <v>NG</v>
      </c>
      <c r="X99" s="35" t="str">
        <f t="shared" si="18"/>
        <v>NYMEX</v>
      </c>
    </row>
    <row r="100" spans="17:24" x14ac:dyDescent="0.2">
      <c r="Q100" s="18" t="s">
        <v>184</v>
      </c>
      <c r="R100" s="2">
        <v>44529</v>
      </c>
      <c r="S100" s="2">
        <v>49060</v>
      </c>
      <c r="T100" s="2">
        <v>49060</v>
      </c>
      <c r="U100" s="37" t="s">
        <v>422</v>
      </c>
      <c r="V100" s="2">
        <f t="shared" si="19"/>
        <v>49060</v>
      </c>
      <c r="W100" t="str">
        <f t="shared" si="20"/>
        <v>NG</v>
      </c>
      <c r="X100" s="35" t="str">
        <f t="shared" si="18"/>
        <v>NYMEX</v>
      </c>
    </row>
    <row r="101" spans="17:24" x14ac:dyDescent="0.2">
      <c r="Q101" s="18" t="s">
        <v>185</v>
      </c>
      <c r="R101" s="2">
        <v>44529</v>
      </c>
      <c r="S101" s="2">
        <v>49090</v>
      </c>
      <c r="T101" s="2">
        <v>49090</v>
      </c>
      <c r="U101" s="37" t="s">
        <v>422</v>
      </c>
      <c r="V101" s="2">
        <f t="shared" si="19"/>
        <v>49090</v>
      </c>
      <c r="W101" t="str">
        <f t="shared" si="20"/>
        <v>NG</v>
      </c>
      <c r="X101" s="35" t="str">
        <f t="shared" si="18"/>
        <v>NYMEX</v>
      </c>
    </row>
    <row r="102" spans="17:24" x14ac:dyDescent="0.2">
      <c r="Q102" s="18" t="s">
        <v>186</v>
      </c>
      <c r="R102" s="2">
        <v>44529</v>
      </c>
      <c r="S102" s="2">
        <v>49123</v>
      </c>
      <c r="T102" s="2">
        <v>49123</v>
      </c>
      <c r="U102" s="37" t="s">
        <v>422</v>
      </c>
      <c r="V102" s="2">
        <f t="shared" si="19"/>
        <v>49123</v>
      </c>
      <c r="W102" t="str">
        <f t="shared" si="20"/>
        <v>NG</v>
      </c>
      <c r="X102" s="35" t="str">
        <f t="shared" si="18"/>
        <v>NYMEX</v>
      </c>
    </row>
    <row r="103" spans="17:24" x14ac:dyDescent="0.2">
      <c r="Q103" s="18" t="s">
        <v>187</v>
      </c>
      <c r="R103" s="2">
        <v>44529</v>
      </c>
      <c r="S103" s="2">
        <v>49152</v>
      </c>
      <c r="T103" s="2">
        <v>49152</v>
      </c>
      <c r="U103" s="37" t="s">
        <v>422</v>
      </c>
      <c r="V103" s="2">
        <f t="shared" si="19"/>
        <v>49152</v>
      </c>
      <c r="W103" t="str">
        <f t="shared" si="20"/>
        <v>NG</v>
      </c>
      <c r="X103" s="35" t="str">
        <f t="shared" si="18"/>
        <v>NYMEX</v>
      </c>
    </row>
    <row r="104" spans="17:24" x14ac:dyDescent="0.2">
      <c r="Q104" s="18" t="s">
        <v>188</v>
      </c>
      <c r="R104" s="2">
        <v>44529</v>
      </c>
      <c r="S104" s="2">
        <v>49185</v>
      </c>
      <c r="T104" s="2">
        <v>49185</v>
      </c>
      <c r="U104" s="37" t="s">
        <v>422</v>
      </c>
      <c r="V104" s="2">
        <f t="shared" si="19"/>
        <v>49185</v>
      </c>
      <c r="W104" t="str">
        <f t="shared" si="20"/>
        <v>NG</v>
      </c>
      <c r="X104" s="35" t="str">
        <f t="shared" si="18"/>
        <v>NYMEX</v>
      </c>
    </row>
    <row r="105" spans="17:24" x14ac:dyDescent="0.2">
      <c r="Q105" s="18" t="s">
        <v>189</v>
      </c>
      <c r="R105" s="2">
        <v>44529</v>
      </c>
      <c r="S105" s="2">
        <v>49214</v>
      </c>
      <c r="T105" s="2">
        <v>49214</v>
      </c>
      <c r="U105" s="37" t="s">
        <v>422</v>
      </c>
      <c r="V105" s="2">
        <f t="shared" si="19"/>
        <v>49214</v>
      </c>
      <c r="W105" t="str">
        <f t="shared" si="20"/>
        <v>NG</v>
      </c>
      <c r="X105" s="35" t="str">
        <f t="shared" si="18"/>
        <v>NYMEX</v>
      </c>
    </row>
    <row r="106" spans="17:24" x14ac:dyDescent="0.2">
      <c r="Q106" s="18" t="s">
        <v>190</v>
      </c>
      <c r="R106" s="2">
        <v>44529</v>
      </c>
      <c r="S106" s="2">
        <v>49244</v>
      </c>
      <c r="T106" s="2">
        <v>49244</v>
      </c>
      <c r="U106" s="37" t="s">
        <v>422</v>
      </c>
      <c r="V106" s="2">
        <f t="shared" si="19"/>
        <v>49244</v>
      </c>
      <c r="W106" t="str">
        <f t="shared" si="20"/>
        <v>NG</v>
      </c>
      <c r="X106" s="35" t="str">
        <f t="shared" si="18"/>
        <v>NYMEX</v>
      </c>
    </row>
    <row r="107" spans="17:24" x14ac:dyDescent="0.2">
      <c r="Q107" s="18" t="s">
        <v>191</v>
      </c>
      <c r="R107" s="2">
        <v>44529</v>
      </c>
      <c r="S107" s="2">
        <v>49276</v>
      </c>
      <c r="T107" s="2">
        <v>49276</v>
      </c>
      <c r="U107" s="37" t="s">
        <v>422</v>
      </c>
      <c r="V107" s="2">
        <f t="shared" si="19"/>
        <v>49276</v>
      </c>
      <c r="W107" t="str">
        <f t="shared" si="20"/>
        <v>NG</v>
      </c>
      <c r="X107" s="35" t="str">
        <f t="shared" si="18"/>
        <v>NYMEX</v>
      </c>
    </row>
    <row r="108" spans="17:24" x14ac:dyDescent="0.2">
      <c r="Q108" s="18" t="s">
        <v>192</v>
      </c>
      <c r="R108" s="2">
        <v>44894</v>
      </c>
      <c r="S108" s="2">
        <v>49305</v>
      </c>
      <c r="T108" s="2">
        <v>49305</v>
      </c>
      <c r="U108" s="37" t="s">
        <v>422</v>
      </c>
      <c r="V108" s="2">
        <f t="shared" si="19"/>
        <v>49305</v>
      </c>
      <c r="W108" t="str">
        <f t="shared" si="20"/>
        <v>NG</v>
      </c>
      <c r="X108" s="35" t="str">
        <f t="shared" si="18"/>
        <v>NYMEX</v>
      </c>
    </row>
    <row r="109" spans="17:24" x14ac:dyDescent="0.2">
      <c r="Q109" s="18" t="s">
        <v>193</v>
      </c>
      <c r="R109" s="2">
        <v>44894</v>
      </c>
      <c r="S109" s="2">
        <v>49338</v>
      </c>
      <c r="T109" s="2">
        <v>49338</v>
      </c>
      <c r="U109" s="37" t="s">
        <v>422</v>
      </c>
      <c r="V109" s="2">
        <f t="shared" si="19"/>
        <v>49338</v>
      </c>
      <c r="W109" t="str">
        <f t="shared" si="20"/>
        <v>NG</v>
      </c>
      <c r="X109" s="35" t="str">
        <f t="shared" si="18"/>
        <v>NYMEX</v>
      </c>
    </row>
    <row r="110" spans="17:24" x14ac:dyDescent="0.2">
      <c r="Q110" s="18" t="s">
        <v>194</v>
      </c>
      <c r="R110" s="2">
        <v>44894</v>
      </c>
      <c r="S110" s="2">
        <v>49366</v>
      </c>
      <c r="T110" s="2">
        <v>49366</v>
      </c>
      <c r="U110" s="37" t="s">
        <v>422</v>
      </c>
      <c r="V110" s="2">
        <f t="shared" si="19"/>
        <v>49366</v>
      </c>
      <c r="W110" t="str">
        <f t="shared" si="20"/>
        <v>NG</v>
      </c>
      <c r="X110" s="35" t="str">
        <f t="shared" si="18"/>
        <v>NYMEX</v>
      </c>
    </row>
    <row r="111" spans="17:24" x14ac:dyDescent="0.2">
      <c r="Q111" s="18" t="s">
        <v>195</v>
      </c>
      <c r="R111" s="2">
        <v>44894</v>
      </c>
      <c r="S111" s="2">
        <v>49396</v>
      </c>
      <c r="T111" s="2">
        <v>49396</v>
      </c>
      <c r="U111" s="37" t="s">
        <v>422</v>
      </c>
      <c r="V111" s="2">
        <f t="shared" si="19"/>
        <v>49396</v>
      </c>
      <c r="W111" t="str">
        <f t="shared" si="20"/>
        <v>NG</v>
      </c>
      <c r="X111" s="35" t="str">
        <f t="shared" si="18"/>
        <v>NYMEX</v>
      </c>
    </row>
    <row r="112" spans="17:24" x14ac:dyDescent="0.2">
      <c r="Q112" s="18" t="s">
        <v>196</v>
      </c>
      <c r="R112" s="2">
        <v>44894</v>
      </c>
      <c r="S112" s="2">
        <v>49425</v>
      </c>
      <c r="T112" s="2">
        <v>49425</v>
      </c>
      <c r="U112" s="37" t="s">
        <v>422</v>
      </c>
      <c r="V112" s="2">
        <f t="shared" si="19"/>
        <v>49425</v>
      </c>
      <c r="W112" t="str">
        <f t="shared" si="20"/>
        <v>NG</v>
      </c>
      <c r="X112" s="35" t="str">
        <f t="shared" si="18"/>
        <v>NYMEX</v>
      </c>
    </row>
    <row r="113" spans="17:24" x14ac:dyDescent="0.2">
      <c r="Q113" s="18" t="s">
        <v>197</v>
      </c>
      <c r="R113" s="2">
        <v>44894</v>
      </c>
      <c r="S113" s="2">
        <v>49458</v>
      </c>
      <c r="T113" s="2">
        <v>49458</v>
      </c>
      <c r="U113" s="37" t="s">
        <v>422</v>
      </c>
      <c r="V113" s="2">
        <f t="shared" si="19"/>
        <v>49458</v>
      </c>
      <c r="W113" t="str">
        <f t="shared" si="20"/>
        <v>NG</v>
      </c>
      <c r="X113" s="35" t="str">
        <f t="shared" si="18"/>
        <v>NYMEX</v>
      </c>
    </row>
    <row r="114" spans="17:24" x14ac:dyDescent="0.2">
      <c r="Q114" s="18" t="s">
        <v>198</v>
      </c>
      <c r="R114" s="2">
        <v>44894</v>
      </c>
      <c r="S114" s="2">
        <v>49487</v>
      </c>
      <c r="T114" s="2">
        <v>49487</v>
      </c>
      <c r="U114" s="37" t="s">
        <v>422</v>
      </c>
      <c r="V114" s="2">
        <f t="shared" si="19"/>
        <v>49487</v>
      </c>
      <c r="W114" t="str">
        <f t="shared" si="20"/>
        <v>NG</v>
      </c>
      <c r="X114" s="35" t="str">
        <f t="shared" si="18"/>
        <v>NYMEX</v>
      </c>
    </row>
    <row r="115" spans="17:24" x14ac:dyDescent="0.2">
      <c r="Q115" s="18" t="s">
        <v>199</v>
      </c>
      <c r="R115" s="2">
        <v>44894</v>
      </c>
      <c r="S115" s="2">
        <v>49517</v>
      </c>
      <c r="T115" s="2">
        <v>49517</v>
      </c>
      <c r="U115" s="37" t="s">
        <v>422</v>
      </c>
      <c r="V115" s="2">
        <f t="shared" si="19"/>
        <v>49517</v>
      </c>
      <c r="W115" t="str">
        <f t="shared" si="20"/>
        <v>NG</v>
      </c>
      <c r="X115" s="35" t="str">
        <f t="shared" si="18"/>
        <v>NYMEX</v>
      </c>
    </row>
    <row r="116" spans="17:24" x14ac:dyDescent="0.2">
      <c r="Q116" s="18" t="s">
        <v>200</v>
      </c>
      <c r="R116" s="2">
        <v>44894</v>
      </c>
      <c r="S116" s="2">
        <v>49550</v>
      </c>
      <c r="T116" s="2">
        <v>49550</v>
      </c>
      <c r="U116" s="37" t="s">
        <v>422</v>
      </c>
      <c r="V116" s="2">
        <f t="shared" si="19"/>
        <v>49550</v>
      </c>
      <c r="W116" t="str">
        <f t="shared" si="20"/>
        <v>NG</v>
      </c>
      <c r="X116" s="35" t="str">
        <f t="shared" si="18"/>
        <v>NYMEX</v>
      </c>
    </row>
    <row r="117" spans="17:24" x14ac:dyDescent="0.2">
      <c r="Q117" s="18" t="s">
        <v>201</v>
      </c>
      <c r="R117" s="2">
        <v>44894</v>
      </c>
      <c r="S117" s="2">
        <v>49578</v>
      </c>
      <c r="T117" s="2">
        <v>49578</v>
      </c>
      <c r="U117" s="37" t="s">
        <v>422</v>
      </c>
      <c r="V117" s="2">
        <f t="shared" si="19"/>
        <v>49578</v>
      </c>
      <c r="W117" t="str">
        <f t="shared" si="20"/>
        <v>NG</v>
      </c>
      <c r="X117" s="35" t="str">
        <f t="shared" si="18"/>
        <v>NYMEX</v>
      </c>
    </row>
    <row r="118" spans="17:24" x14ac:dyDescent="0.2">
      <c r="Q118" s="18" t="s">
        <v>202</v>
      </c>
      <c r="R118" s="2">
        <v>44894</v>
      </c>
      <c r="S118" s="2">
        <v>49611</v>
      </c>
      <c r="T118" s="2">
        <v>49611</v>
      </c>
      <c r="U118" s="37" t="s">
        <v>422</v>
      </c>
      <c r="V118" s="2">
        <f t="shared" si="19"/>
        <v>49611</v>
      </c>
      <c r="W118" t="str">
        <f t="shared" si="20"/>
        <v>NG</v>
      </c>
      <c r="X118" s="35" t="str">
        <f t="shared" si="18"/>
        <v>NYMEX</v>
      </c>
    </row>
    <row r="119" spans="17:24" x14ac:dyDescent="0.2">
      <c r="Q119" s="18" t="s">
        <v>203</v>
      </c>
      <c r="R119" s="2">
        <v>44894</v>
      </c>
      <c r="S119" s="2">
        <v>49641</v>
      </c>
      <c r="T119" s="2">
        <v>49641</v>
      </c>
      <c r="U119" s="37" t="s">
        <v>422</v>
      </c>
      <c r="V119" s="2">
        <f t="shared" si="19"/>
        <v>49641</v>
      </c>
      <c r="W119" t="str">
        <f t="shared" si="20"/>
        <v>NG</v>
      </c>
      <c r="X119" s="35" t="str">
        <f t="shared" si="18"/>
        <v>NYMEX</v>
      </c>
    </row>
    <row r="120" spans="17:24" x14ac:dyDescent="0.2">
      <c r="Q120" s="18" t="s">
        <v>204</v>
      </c>
      <c r="R120" s="2">
        <v>45259</v>
      </c>
      <c r="S120" s="2">
        <v>49670</v>
      </c>
      <c r="T120" s="2">
        <v>49670</v>
      </c>
      <c r="U120" s="37" t="s">
        <v>422</v>
      </c>
      <c r="V120" s="2">
        <f t="shared" si="19"/>
        <v>49670</v>
      </c>
      <c r="W120" t="str">
        <f t="shared" si="20"/>
        <v>NG</v>
      </c>
      <c r="X120" s="35" t="str">
        <f t="shared" si="18"/>
        <v>NYMEX</v>
      </c>
    </row>
    <row r="121" spans="17:24" x14ac:dyDescent="0.2">
      <c r="Q121" s="18" t="s">
        <v>205</v>
      </c>
      <c r="R121" s="2">
        <v>45259</v>
      </c>
      <c r="S121" s="2">
        <v>49703</v>
      </c>
      <c r="T121" s="2">
        <v>49703</v>
      </c>
      <c r="U121" s="37" t="s">
        <v>422</v>
      </c>
      <c r="V121" s="2">
        <f t="shared" si="19"/>
        <v>49703</v>
      </c>
      <c r="W121" t="str">
        <f t="shared" si="20"/>
        <v>NG</v>
      </c>
      <c r="X121" s="35" t="str">
        <f t="shared" si="18"/>
        <v>NYMEX</v>
      </c>
    </row>
    <row r="122" spans="17:24" x14ac:dyDescent="0.2">
      <c r="Q122" s="18" t="s">
        <v>206</v>
      </c>
      <c r="R122" s="2">
        <v>45259</v>
      </c>
      <c r="S122" s="2">
        <v>49732</v>
      </c>
      <c r="T122" s="2">
        <v>49732</v>
      </c>
      <c r="U122" s="37" t="s">
        <v>422</v>
      </c>
      <c r="V122" s="2">
        <f t="shared" si="19"/>
        <v>49732</v>
      </c>
      <c r="W122" t="str">
        <f t="shared" si="20"/>
        <v>NG</v>
      </c>
      <c r="X122" s="35" t="str">
        <f t="shared" si="18"/>
        <v>NYMEX</v>
      </c>
    </row>
    <row r="123" spans="17:24" x14ac:dyDescent="0.2">
      <c r="Q123" s="18" t="s">
        <v>207</v>
      </c>
      <c r="R123" s="2">
        <v>45259</v>
      </c>
      <c r="S123" s="2">
        <v>49761</v>
      </c>
      <c r="T123" s="2">
        <v>49761</v>
      </c>
      <c r="U123" s="37" t="s">
        <v>422</v>
      </c>
      <c r="V123" s="2">
        <f t="shared" si="19"/>
        <v>49761</v>
      </c>
      <c r="W123" t="str">
        <f t="shared" si="20"/>
        <v>NG</v>
      </c>
      <c r="X123" s="35" t="str">
        <f t="shared" si="18"/>
        <v>NYMEX</v>
      </c>
    </row>
    <row r="124" spans="17:24" x14ac:dyDescent="0.2">
      <c r="Q124" s="18" t="s">
        <v>208</v>
      </c>
      <c r="R124" s="2">
        <v>45259</v>
      </c>
      <c r="S124" s="2">
        <v>49793</v>
      </c>
      <c r="T124" s="2">
        <v>49793</v>
      </c>
      <c r="U124" s="37" t="s">
        <v>422</v>
      </c>
      <c r="V124" s="2">
        <f t="shared" si="19"/>
        <v>49793</v>
      </c>
      <c r="W124" t="str">
        <f t="shared" si="20"/>
        <v>NG</v>
      </c>
      <c r="X124" s="35" t="str">
        <f t="shared" si="18"/>
        <v>NYMEX</v>
      </c>
    </row>
    <row r="125" spans="17:24" x14ac:dyDescent="0.2">
      <c r="Q125" s="18" t="s">
        <v>209</v>
      </c>
      <c r="R125" s="2">
        <v>45259</v>
      </c>
      <c r="S125" s="2">
        <v>49823</v>
      </c>
      <c r="T125" s="2">
        <v>49823</v>
      </c>
      <c r="U125" s="37" t="s">
        <v>422</v>
      </c>
      <c r="V125" s="2">
        <f t="shared" si="19"/>
        <v>49823</v>
      </c>
      <c r="W125" t="str">
        <f t="shared" si="20"/>
        <v>NG</v>
      </c>
      <c r="X125" s="35" t="str">
        <f t="shared" si="18"/>
        <v>NYMEX</v>
      </c>
    </row>
    <row r="126" spans="17:24" x14ac:dyDescent="0.2">
      <c r="Q126" s="18" t="s">
        <v>210</v>
      </c>
      <c r="R126" s="2">
        <v>45259</v>
      </c>
      <c r="S126" s="2">
        <v>49852</v>
      </c>
      <c r="T126" s="2">
        <v>49852</v>
      </c>
      <c r="U126" s="37" t="s">
        <v>422</v>
      </c>
      <c r="V126" s="2">
        <f t="shared" si="19"/>
        <v>49852</v>
      </c>
      <c r="W126" t="str">
        <f t="shared" si="20"/>
        <v>NG</v>
      </c>
      <c r="X126" s="35" t="str">
        <f t="shared" si="18"/>
        <v>NYMEX</v>
      </c>
    </row>
    <row r="127" spans="17:24" x14ac:dyDescent="0.2">
      <c r="Q127" s="18" t="s">
        <v>211</v>
      </c>
      <c r="R127" s="2">
        <v>45259</v>
      </c>
      <c r="S127" s="2">
        <v>49885</v>
      </c>
      <c r="T127" s="2">
        <v>49885</v>
      </c>
      <c r="U127" s="37" t="s">
        <v>422</v>
      </c>
      <c r="V127" s="2">
        <f t="shared" si="19"/>
        <v>49885</v>
      </c>
      <c r="W127" t="str">
        <f t="shared" si="20"/>
        <v>NG</v>
      </c>
      <c r="X127" s="35" t="str">
        <f t="shared" si="18"/>
        <v>NYMEX</v>
      </c>
    </row>
    <row r="128" spans="17:24" x14ac:dyDescent="0.2">
      <c r="Q128" s="18" t="s">
        <v>212</v>
      </c>
      <c r="R128" s="2">
        <v>45259</v>
      </c>
      <c r="S128" s="2">
        <v>49914</v>
      </c>
      <c r="T128" s="2">
        <v>49914</v>
      </c>
      <c r="U128" s="37" t="s">
        <v>422</v>
      </c>
      <c r="V128" s="2">
        <f t="shared" si="19"/>
        <v>49914</v>
      </c>
      <c r="W128" t="str">
        <f t="shared" si="20"/>
        <v>NG</v>
      </c>
      <c r="X128" s="35" t="str">
        <f t="shared" si="18"/>
        <v>NYMEX</v>
      </c>
    </row>
    <row r="129" spans="17:24" x14ac:dyDescent="0.2">
      <c r="Q129" s="18" t="s">
        <v>213</v>
      </c>
      <c r="R129" s="2">
        <v>45259</v>
      </c>
      <c r="S129" s="2">
        <v>49944</v>
      </c>
      <c r="T129" s="2">
        <v>49944</v>
      </c>
      <c r="U129" s="37" t="s">
        <v>422</v>
      </c>
      <c r="V129" s="2">
        <f t="shared" si="19"/>
        <v>49944</v>
      </c>
      <c r="W129" t="str">
        <f t="shared" si="20"/>
        <v>NG</v>
      </c>
      <c r="X129" s="35" t="str">
        <f t="shared" si="18"/>
        <v>NYMEX</v>
      </c>
    </row>
    <row r="130" spans="17:24" x14ac:dyDescent="0.2">
      <c r="Q130" s="18" t="s">
        <v>214</v>
      </c>
      <c r="R130" s="2">
        <v>45259</v>
      </c>
      <c r="S130" s="2">
        <v>49977</v>
      </c>
      <c r="T130" s="2">
        <v>49977</v>
      </c>
      <c r="U130" s="37" t="s">
        <v>422</v>
      </c>
      <c r="V130" s="2">
        <f t="shared" si="19"/>
        <v>49977</v>
      </c>
      <c r="W130" t="str">
        <f t="shared" si="20"/>
        <v>NG</v>
      </c>
      <c r="X130" s="35" t="str">
        <f t="shared" si="18"/>
        <v>NYMEX</v>
      </c>
    </row>
    <row r="131" spans="17:24" x14ac:dyDescent="0.2">
      <c r="Q131" s="18" t="s">
        <v>215</v>
      </c>
      <c r="R131" s="2">
        <v>45259</v>
      </c>
      <c r="S131" s="2">
        <v>50004</v>
      </c>
      <c r="T131" s="2">
        <v>50004</v>
      </c>
      <c r="U131" s="37" t="s">
        <v>422</v>
      </c>
      <c r="V131" s="2">
        <f t="shared" si="19"/>
        <v>50004</v>
      </c>
      <c r="W131" t="str">
        <f t="shared" si="20"/>
        <v>NG</v>
      </c>
      <c r="X131" s="35" t="str">
        <f t="shared" ref="X131:X194" si="21">IFERROR(INDEX(AD:AD, MATCH(W131,AC:AC,0)),"---")</f>
        <v>NYMEX</v>
      </c>
    </row>
    <row r="132" spans="17:24" x14ac:dyDescent="0.2">
      <c r="Q132" s="18" t="s">
        <v>216</v>
      </c>
      <c r="R132" s="2">
        <v>45623</v>
      </c>
      <c r="S132" s="2">
        <v>50038</v>
      </c>
      <c r="T132" s="2">
        <v>50038</v>
      </c>
      <c r="U132" s="37" t="s">
        <v>422</v>
      </c>
      <c r="V132" s="2">
        <f t="shared" ref="V132:V195" si="22">MIN(S132:U132)</f>
        <v>50038</v>
      </c>
      <c r="W132" t="str">
        <f t="shared" ref="W132:W195" si="23">MID(Q132,1,LEN(Q132)-3)</f>
        <v>NG</v>
      </c>
      <c r="X132" s="35" t="str">
        <f t="shared" si="21"/>
        <v>NYMEX</v>
      </c>
    </row>
    <row r="133" spans="17:24" x14ac:dyDescent="0.2">
      <c r="Q133" s="18" t="s">
        <v>217</v>
      </c>
      <c r="R133" s="2">
        <v>45623</v>
      </c>
      <c r="S133" s="2">
        <v>50068</v>
      </c>
      <c r="T133" s="2">
        <v>50068</v>
      </c>
      <c r="U133" s="37" t="s">
        <v>422</v>
      </c>
      <c r="V133" s="2">
        <f t="shared" si="22"/>
        <v>50068</v>
      </c>
      <c r="W133" t="str">
        <f t="shared" si="23"/>
        <v>NG</v>
      </c>
      <c r="X133" s="35" t="str">
        <f t="shared" si="21"/>
        <v>NYMEX</v>
      </c>
    </row>
    <row r="134" spans="17:24" x14ac:dyDescent="0.2">
      <c r="Q134" s="18" t="s">
        <v>218</v>
      </c>
      <c r="R134" s="2">
        <v>45623</v>
      </c>
      <c r="S134" s="2">
        <v>50096</v>
      </c>
      <c r="T134" s="2">
        <v>50096</v>
      </c>
      <c r="U134" s="37" t="s">
        <v>422</v>
      </c>
      <c r="V134" s="2">
        <f t="shared" si="22"/>
        <v>50096</v>
      </c>
      <c r="W134" t="str">
        <f t="shared" si="23"/>
        <v>NG</v>
      </c>
      <c r="X134" s="35" t="str">
        <f t="shared" si="21"/>
        <v>NYMEX</v>
      </c>
    </row>
    <row r="135" spans="17:24" x14ac:dyDescent="0.2">
      <c r="Q135" s="18" t="s">
        <v>219</v>
      </c>
      <c r="R135" s="2">
        <v>45623</v>
      </c>
      <c r="S135" s="2">
        <v>50126</v>
      </c>
      <c r="T135" s="2">
        <v>50126</v>
      </c>
      <c r="U135" s="37" t="s">
        <v>422</v>
      </c>
      <c r="V135" s="2">
        <f t="shared" si="22"/>
        <v>50126</v>
      </c>
      <c r="W135" t="str">
        <f t="shared" si="23"/>
        <v>NG</v>
      </c>
      <c r="X135" s="35" t="str">
        <f t="shared" si="21"/>
        <v>NYMEX</v>
      </c>
    </row>
    <row r="136" spans="17:24" x14ac:dyDescent="0.2">
      <c r="Q136" s="18" t="s">
        <v>220</v>
      </c>
      <c r="R136" s="2">
        <v>45623</v>
      </c>
      <c r="S136" s="2">
        <v>50158</v>
      </c>
      <c r="T136" s="2">
        <v>50158</v>
      </c>
      <c r="U136" s="37" t="s">
        <v>422</v>
      </c>
      <c r="V136" s="2">
        <f t="shared" si="22"/>
        <v>50158</v>
      </c>
      <c r="W136" t="str">
        <f t="shared" si="23"/>
        <v>NG</v>
      </c>
      <c r="X136" s="35" t="str">
        <f t="shared" si="21"/>
        <v>NYMEX</v>
      </c>
    </row>
    <row r="137" spans="17:24" x14ac:dyDescent="0.2">
      <c r="Q137" s="18" t="s">
        <v>221</v>
      </c>
      <c r="R137" s="2">
        <v>45623</v>
      </c>
      <c r="S137" s="2">
        <v>50187</v>
      </c>
      <c r="T137" s="2">
        <v>50187</v>
      </c>
      <c r="U137" s="37" t="s">
        <v>422</v>
      </c>
      <c r="V137" s="2">
        <f t="shared" si="22"/>
        <v>50187</v>
      </c>
      <c r="W137" t="str">
        <f t="shared" si="23"/>
        <v>NG</v>
      </c>
      <c r="X137" s="35" t="str">
        <f t="shared" si="21"/>
        <v>NYMEX</v>
      </c>
    </row>
    <row r="138" spans="17:24" x14ac:dyDescent="0.2">
      <c r="Q138" s="18" t="s">
        <v>222</v>
      </c>
      <c r="R138" s="2">
        <v>45623</v>
      </c>
      <c r="S138" s="2">
        <v>50217</v>
      </c>
      <c r="T138" s="2">
        <v>50217</v>
      </c>
      <c r="U138" s="37" t="s">
        <v>422</v>
      </c>
      <c r="V138" s="2">
        <f t="shared" si="22"/>
        <v>50217</v>
      </c>
      <c r="W138" t="str">
        <f t="shared" si="23"/>
        <v>NG</v>
      </c>
      <c r="X138" s="35" t="str">
        <f t="shared" si="21"/>
        <v>NYMEX</v>
      </c>
    </row>
    <row r="139" spans="17:24" x14ac:dyDescent="0.2">
      <c r="Q139" s="18" t="s">
        <v>223</v>
      </c>
      <c r="R139" s="2">
        <v>45623</v>
      </c>
      <c r="S139" s="2">
        <v>50250</v>
      </c>
      <c r="T139" s="2">
        <v>50250</v>
      </c>
      <c r="U139" s="37" t="s">
        <v>422</v>
      </c>
      <c r="V139" s="2">
        <f t="shared" si="22"/>
        <v>50250</v>
      </c>
      <c r="W139" t="str">
        <f t="shared" si="23"/>
        <v>NG</v>
      </c>
      <c r="X139" s="35" t="str">
        <f t="shared" si="21"/>
        <v>NYMEX</v>
      </c>
    </row>
    <row r="140" spans="17:24" x14ac:dyDescent="0.2">
      <c r="Q140" s="18" t="s">
        <v>224</v>
      </c>
      <c r="R140" s="2">
        <v>45623</v>
      </c>
      <c r="S140" s="2">
        <v>50279</v>
      </c>
      <c r="T140" s="2">
        <v>50279</v>
      </c>
      <c r="U140" s="37" t="s">
        <v>422</v>
      </c>
      <c r="V140" s="2">
        <f t="shared" si="22"/>
        <v>50279</v>
      </c>
      <c r="W140" t="str">
        <f t="shared" si="23"/>
        <v>NG</v>
      </c>
      <c r="X140" s="35" t="str">
        <f t="shared" si="21"/>
        <v>NYMEX</v>
      </c>
    </row>
    <row r="141" spans="17:24" x14ac:dyDescent="0.2">
      <c r="Q141" s="18" t="s">
        <v>225</v>
      </c>
      <c r="R141" s="2">
        <v>45623</v>
      </c>
      <c r="S141" s="2">
        <v>50311</v>
      </c>
      <c r="T141" s="2">
        <v>50311</v>
      </c>
      <c r="U141" s="37" t="s">
        <v>422</v>
      </c>
      <c r="V141" s="2">
        <f t="shared" si="22"/>
        <v>50311</v>
      </c>
      <c r="W141" t="str">
        <f t="shared" si="23"/>
        <v>NG</v>
      </c>
      <c r="X141" s="35" t="str">
        <f t="shared" si="21"/>
        <v>NYMEX</v>
      </c>
    </row>
    <row r="142" spans="17:24" x14ac:dyDescent="0.2">
      <c r="Q142" s="18" t="s">
        <v>226</v>
      </c>
      <c r="R142" s="2">
        <v>45623</v>
      </c>
      <c r="S142" s="2">
        <v>50341</v>
      </c>
      <c r="T142" s="2">
        <v>50341</v>
      </c>
      <c r="U142" s="37" t="s">
        <v>422</v>
      </c>
      <c r="V142" s="2">
        <f t="shared" si="22"/>
        <v>50341</v>
      </c>
      <c r="W142" t="str">
        <f t="shared" si="23"/>
        <v>NG</v>
      </c>
      <c r="X142" s="35" t="str">
        <f t="shared" si="21"/>
        <v>NYMEX</v>
      </c>
    </row>
    <row r="143" spans="17:24" x14ac:dyDescent="0.2">
      <c r="Q143" s="18" t="s">
        <v>227</v>
      </c>
      <c r="R143" s="2">
        <v>45623</v>
      </c>
      <c r="S143" s="2">
        <v>50369</v>
      </c>
      <c r="T143" s="2">
        <v>50369</v>
      </c>
      <c r="U143" s="37" t="s">
        <v>422</v>
      </c>
      <c r="V143" s="2">
        <f t="shared" si="22"/>
        <v>50369</v>
      </c>
      <c r="W143" t="str">
        <f t="shared" si="23"/>
        <v>NG</v>
      </c>
      <c r="X143" s="35" t="str">
        <f t="shared" si="21"/>
        <v>NYMEX</v>
      </c>
    </row>
    <row r="144" spans="17:24" x14ac:dyDescent="0.2">
      <c r="Q144" s="18" t="s">
        <v>228</v>
      </c>
      <c r="R144" s="2">
        <v>45987</v>
      </c>
      <c r="S144" s="2">
        <v>50403</v>
      </c>
      <c r="T144" s="2">
        <v>50403</v>
      </c>
      <c r="U144" s="37" t="s">
        <v>422</v>
      </c>
      <c r="V144" s="2">
        <f t="shared" si="22"/>
        <v>50403</v>
      </c>
      <c r="W144" t="str">
        <f t="shared" si="23"/>
        <v>NG</v>
      </c>
      <c r="X144" s="35" t="str">
        <f t="shared" si="21"/>
        <v>NYMEX</v>
      </c>
    </row>
    <row r="145" spans="17:24" x14ac:dyDescent="0.2">
      <c r="Q145" s="18" t="s">
        <v>229</v>
      </c>
      <c r="R145" s="2">
        <v>45987</v>
      </c>
      <c r="S145" s="2">
        <v>50432</v>
      </c>
      <c r="T145" s="2">
        <v>50432</v>
      </c>
      <c r="U145" s="37" t="s">
        <v>422</v>
      </c>
      <c r="V145" s="2">
        <f t="shared" si="22"/>
        <v>50432</v>
      </c>
      <c r="W145" t="str">
        <f t="shared" si="23"/>
        <v>NG</v>
      </c>
      <c r="X145" s="35" t="str">
        <f t="shared" si="21"/>
        <v>NYMEX</v>
      </c>
    </row>
    <row r="146" spans="17:24" x14ac:dyDescent="0.2">
      <c r="Q146" s="18" t="s">
        <v>230</v>
      </c>
      <c r="R146" s="2">
        <v>45987</v>
      </c>
      <c r="S146" s="2">
        <v>50460</v>
      </c>
      <c r="T146" s="2">
        <v>50460</v>
      </c>
      <c r="U146" s="37" t="s">
        <v>422</v>
      </c>
      <c r="V146" s="2">
        <f t="shared" si="22"/>
        <v>50460</v>
      </c>
      <c r="W146" t="str">
        <f t="shared" si="23"/>
        <v>NG</v>
      </c>
      <c r="X146" s="35" t="str">
        <f t="shared" si="21"/>
        <v>NYMEX</v>
      </c>
    </row>
    <row r="147" spans="17:24" x14ac:dyDescent="0.2">
      <c r="Q147" s="18" t="s">
        <v>231</v>
      </c>
      <c r="R147" s="2">
        <v>45987</v>
      </c>
      <c r="S147" s="2">
        <v>50493</v>
      </c>
      <c r="T147" s="2">
        <v>50493</v>
      </c>
      <c r="U147" s="37" t="s">
        <v>422</v>
      </c>
      <c r="V147" s="2">
        <f t="shared" si="22"/>
        <v>50493</v>
      </c>
      <c r="W147" t="str">
        <f t="shared" si="23"/>
        <v>NG</v>
      </c>
      <c r="X147" s="35" t="str">
        <f t="shared" si="21"/>
        <v>NYMEX</v>
      </c>
    </row>
    <row r="148" spans="17:24" x14ac:dyDescent="0.2">
      <c r="Q148" s="18" t="s">
        <v>232</v>
      </c>
      <c r="R148" s="2">
        <v>45987</v>
      </c>
      <c r="S148" s="2">
        <v>50523</v>
      </c>
      <c r="T148" s="2">
        <v>50523</v>
      </c>
      <c r="U148" s="37" t="s">
        <v>422</v>
      </c>
      <c r="V148" s="2">
        <f t="shared" si="22"/>
        <v>50523</v>
      </c>
      <c r="W148" t="str">
        <f t="shared" si="23"/>
        <v>NG</v>
      </c>
      <c r="X148" s="35" t="str">
        <f t="shared" si="21"/>
        <v>NYMEX</v>
      </c>
    </row>
    <row r="149" spans="17:24" x14ac:dyDescent="0.2">
      <c r="Q149" s="18" t="s">
        <v>233</v>
      </c>
      <c r="R149" s="2">
        <v>45987</v>
      </c>
      <c r="S149" s="2">
        <v>50551</v>
      </c>
      <c r="T149" s="2">
        <v>50551</v>
      </c>
      <c r="U149" s="37" t="s">
        <v>422</v>
      </c>
      <c r="V149" s="2">
        <f t="shared" si="22"/>
        <v>50551</v>
      </c>
      <c r="W149" t="str">
        <f t="shared" si="23"/>
        <v>NG</v>
      </c>
      <c r="X149" s="35" t="str">
        <f t="shared" si="21"/>
        <v>NYMEX</v>
      </c>
    </row>
    <row r="150" spans="17:24" x14ac:dyDescent="0.2">
      <c r="Q150" s="18" t="s">
        <v>234</v>
      </c>
      <c r="R150" s="2">
        <v>45987</v>
      </c>
      <c r="S150" s="2">
        <v>50584</v>
      </c>
      <c r="T150" s="2">
        <v>50584</v>
      </c>
      <c r="U150" s="37" t="s">
        <v>422</v>
      </c>
      <c r="V150" s="2">
        <f t="shared" si="22"/>
        <v>50584</v>
      </c>
      <c r="W150" t="str">
        <f t="shared" si="23"/>
        <v>NG</v>
      </c>
      <c r="X150" s="35" t="str">
        <f t="shared" si="21"/>
        <v>NYMEX</v>
      </c>
    </row>
    <row r="151" spans="17:24" x14ac:dyDescent="0.2">
      <c r="Q151" s="18" t="s">
        <v>235</v>
      </c>
      <c r="R151" s="2">
        <v>45987</v>
      </c>
      <c r="S151" s="2">
        <v>50614</v>
      </c>
      <c r="T151" s="2">
        <v>50614</v>
      </c>
      <c r="U151" s="37" t="s">
        <v>422</v>
      </c>
      <c r="V151" s="2">
        <f t="shared" si="22"/>
        <v>50614</v>
      </c>
      <c r="W151" t="str">
        <f t="shared" si="23"/>
        <v>NG</v>
      </c>
      <c r="X151" s="35" t="str">
        <f t="shared" si="21"/>
        <v>NYMEX</v>
      </c>
    </row>
    <row r="152" spans="17:24" x14ac:dyDescent="0.2">
      <c r="Q152" s="18" t="s">
        <v>236</v>
      </c>
      <c r="R152" s="2">
        <v>45987</v>
      </c>
      <c r="S152" s="2">
        <v>50644</v>
      </c>
      <c r="T152" s="2">
        <v>50644</v>
      </c>
      <c r="U152" s="37" t="s">
        <v>422</v>
      </c>
      <c r="V152" s="2">
        <f t="shared" si="22"/>
        <v>50644</v>
      </c>
      <c r="W152" t="str">
        <f t="shared" si="23"/>
        <v>NG</v>
      </c>
      <c r="X152" s="35" t="str">
        <f t="shared" si="21"/>
        <v>NYMEX</v>
      </c>
    </row>
    <row r="153" spans="17:24" x14ac:dyDescent="0.2">
      <c r="Q153" s="18" t="s">
        <v>237</v>
      </c>
      <c r="R153" s="2">
        <v>45987</v>
      </c>
      <c r="S153" s="2">
        <v>50676</v>
      </c>
      <c r="T153" s="2">
        <v>50676</v>
      </c>
      <c r="U153" s="37" t="s">
        <v>422</v>
      </c>
      <c r="V153" s="2">
        <f t="shared" si="22"/>
        <v>50676</v>
      </c>
      <c r="W153" t="str">
        <f t="shared" si="23"/>
        <v>NG</v>
      </c>
      <c r="X153" s="35" t="str">
        <f t="shared" si="21"/>
        <v>NYMEX</v>
      </c>
    </row>
    <row r="154" spans="17:24" x14ac:dyDescent="0.2">
      <c r="Q154" s="18" t="s">
        <v>238</v>
      </c>
      <c r="R154" s="2">
        <v>45987</v>
      </c>
      <c r="S154" s="2">
        <v>50705</v>
      </c>
      <c r="T154" s="2">
        <v>50705</v>
      </c>
      <c r="U154" s="37" t="s">
        <v>422</v>
      </c>
      <c r="V154" s="2">
        <f t="shared" si="22"/>
        <v>50705</v>
      </c>
      <c r="W154" t="str">
        <f t="shared" si="23"/>
        <v>NG</v>
      </c>
      <c r="X154" s="35" t="str">
        <f t="shared" si="21"/>
        <v>NYMEX</v>
      </c>
    </row>
    <row r="155" spans="17:24" x14ac:dyDescent="0.2">
      <c r="Q155" s="18" t="s">
        <v>239</v>
      </c>
      <c r="R155" s="2">
        <v>45987</v>
      </c>
      <c r="S155" s="2">
        <v>50735</v>
      </c>
      <c r="T155" s="2">
        <v>50735</v>
      </c>
      <c r="U155" s="37" t="s">
        <v>422</v>
      </c>
      <c r="V155" s="2">
        <f t="shared" si="22"/>
        <v>50735</v>
      </c>
      <c r="W155" t="str">
        <f t="shared" si="23"/>
        <v>NG</v>
      </c>
      <c r="X155" s="35" t="str">
        <f t="shared" si="21"/>
        <v>NYMEX</v>
      </c>
    </row>
    <row r="156" spans="17:24" x14ac:dyDescent="0.2">
      <c r="Q156" s="18" t="s">
        <v>240</v>
      </c>
      <c r="R156" s="2">
        <v>43405</v>
      </c>
      <c r="S156" s="2">
        <v>46080</v>
      </c>
      <c r="T156" s="2">
        <v>46083</v>
      </c>
      <c r="U156" s="37" t="s">
        <v>422</v>
      </c>
      <c r="V156" s="2">
        <f t="shared" si="22"/>
        <v>46080</v>
      </c>
      <c r="W156" t="str">
        <f t="shared" si="23"/>
        <v>BZ</v>
      </c>
      <c r="X156" s="35" t="str">
        <f t="shared" si="21"/>
        <v>NYMEX</v>
      </c>
    </row>
    <row r="157" spans="17:24" x14ac:dyDescent="0.2">
      <c r="Q157" s="18" t="s">
        <v>241</v>
      </c>
      <c r="R157" s="2">
        <v>43405</v>
      </c>
      <c r="S157" s="2">
        <v>46112</v>
      </c>
      <c r="T157" s="2">
        <v>46113</v>
      </c>
      <c r="U157" s="37" t="s">
        <v>422</v>
      </c>
      <c r="V157" s="2">
        <f t="shared" si="22"/>
        <v>46112</v>
      </c>
      <c r="W157" t="str">
        <f t="shared" si="23"/>
        <v>BZ</v>
      </c>
      <c r="X157" s="35" t="str">
        <f t="shared" si="21"/>
        <v>NYMEX</v>
      </c>
    </row>
    <row r="158" spans="17:24" x14ac:dyDescent="0.2">
      <c r="Q158" s="18" t="s">
        <v>242</v>
      </c>
      <c r="R158" s="2">
        <v>43405</v>
      </c>
      <c r="S158" s="2">
        <v>46142</v>
      </c>
      <c r="T158" s="2">
        <v>46143</v>
      </c>
      <c r="U158" s="37" t="s">
        <v>422</v>
      </c>
      <c r="V158" s="2">
        <f t="shared" si="22"/>
        <v>46142</v>
      </c>
      <c r="W158" t="str">
        <f t="shared" si="23"/>
        <v>BZ</v>
      </c>
      <c r="X158" s="35" t="str">
        <f t="shared" si="21"/>
        <v>NYMEX</v>
      </c>
    </row>
    <row r="159" spans="17:24" x14ac:dyDescent="0.2">
      <c r="Q159" s="18" t="s">
        <v>243</v>
      </c>
      <c r="R159" s="2">
        <v>43405</v>
      </c>
      <c r="S159" s="2">
        <v>46171</v>
      </c>
      <c r="T159" s="2">
        <v>46174</v>
      </c>
      <c r="U159" s="37" t="s">
        <v>422</v>
      </c>
      <c r="V159" s="2">
        <f t="shared" si="22"/>
        <v>46171</v>
      </c>
      <c r="W159" t="str">
        <f t="shared" si="23"/>
        <v>BZ</v>
      </c>
      <c r="X159" s="35" t="str">
        <f t="shared" si="21"/>
        <v>NYMEX</v>
      </c>
    </row>
    <row r="160" spans="17:24" x14ac:dyDescent="0.2">
      <c r="Q160" s="18" t="s">
        <v>244</v>
      </c>
      <c r="R160" s="2">
        <v>43405</v>
      </c>
      <c r="S160" s="2">
        <v>46203</v>
      </c>
      <c r="T160" s="2">
        <v>46204</v>
      </c>
      <c r="U160" s="37" t="s">
        <v>422</v>
      </c>
      <c r="V160" s="2">
        <f t="shared" si="22"/>
        <v>46203</v>
      </c>
      <c r="W160" t="str">
        <f t="shared" si="23"/>
        <v>BZ</v>
      </c>
      <c r="X160" s="35" t="str">
        <f t="shared" si="21"/>
        <v>NYMEX</v>
      </c>
    </row>
    <row r="161" spans="17:24" x14ac:dyDescent="0.2">
      <c r="Q161" s="18" t="s">
        <v>245</v>
      </c>
      <c r="R161" s="2">
        <v>43405</v>
      </c>
      <c r="S161" s="2">
        <v>46234</v>
      </c>
      <c r="T161" s="2">
        <v>46237</v>
      </c>
      <c r="U161" s="37" t="s">
        <v>422</v>
      </c>
      <c r="V161" s="2">
        <f t="shared" si="22"/>
        <v>46234</v>
      </c>
      <c r="W161" t="str">
        <f t="shared" si="23"/>
        <v>BZ</v>
      </c>
      <c r="X161" s="35" t="str">
        <f t="shared" si="21"/>
        <v>NYMEX</v>
      </c>
    </row>
    <row r="162" spans="17:24" x14ac:dyDescent="0.2">
      <c r="Q162" s="18" t="s">
        <v>246</v>
      </c>
      <c r="R162" s="2">
        <v>43405</v>
      </c>
      <c r="S162" s="2">
        <v>46262</v>
      </c>
      <c r="T162" s="2">
        <v>46265</v>
      </c>
      <c r="U162" s="37" t="s">
        <v>422</v>
      </c>
      <c r="V162" s="2">
        <f t="shared" si="22"/>
        <v>46262</v>
      </c>
      <c r="W162" t="str">
        <f t="shared" si="23"/>
        <v>BZ</v>
      </c>
      <c r="X162" s="35" t="str">
        <f t="shared" si="21"/>
        <v>NYMEX</v>
      </c>
    </row>
    <row r="163" spans="17:24" x14ac:dyDescent="0.2">
      <c r="Q163" s="18" t="s">
        <v>247</v>
      </c>
      <c r="R163" s="2">
        <v>43405</v>
      </c>
      <c r="S163" s="2">
        <v>46295</v>
      </c>
      <c r="T163" s="2">
        <v>46296</v>
      </c>
      <c r="U163" s="37" t="s">
        <v>422</v>
      </c>
      <c r="V163" s="2">
        <f t="shared" si="22"/>
        <v>46295</v>
      </c>
      <c r="W163" t="str">
        <f t="shared" si="23"/>
        <v>BZ</v>
      </c>
      <c r="X163" s="35" t="str">
        <f t="shared" si="21"/>
        <v>NYMEX</v>
      </c>
    </row>
    <row r="164" spans="17:24" x14ac:dyDescent="0.2">
      <c r="Q164" s="18" t="s">
        <v>248</v>
      </c>
      <c r="R164" s="2">
        <v>43405</v>
      </c>
      <c r="S164" s="2">
        <v>46325</v>
      </c>
      <c r="T164" s="2">
        <v>46328</v>
      </c>
      <c r="U164" s="37" t="s">
        <v>422</v>
      </c>
      <c r="V164" s="2">
        <f t="shared" si="22"/>
        <v>46325</v>
      </c>
      <c r="W164" t="str">
        <f t="shared" si="23"/>
        <v>BZ</v>
      </c>
      <c r="X164" s="35" t="str">
        <f t="shared" si="21"/>
        <v>NYMEX</v>
      </c>
    </row>
    <row r="165" spans="17:24" x14ac:dyDescent="0.2">
      <c r="Q165" s="18" t="s">
        <v>249</v>
      </c>
      <c r="R165" s="2">
        <v>43405</v>
      </c>
      <c r="S165" s="2">
        <v>46356</v>
      </c>
      <c r="T165" s="2">
        <v>46357</v>
      </c>
      <c r="U165" s="37" t="s">
        <v>422</v>
      </c>
      <c r="V165" s="2">
        <f t="shared" si="22"/>
        <v>46356</v>
      </c>
      <c r="W165" t="str">
        <f t="shared" si="23"/>
        <v>BZ</v>
      </c>
      <c r="X165" s="35" t="str">
        <f t="shared" si="21"/>
        <v>NYMEX</v>
      </c>
    </row>
    <row r="166" spans="17:24" x14ac:dyDescent="0.2">
      <c r="Q166" s="18" t="s">
        <v>250</v>
      </c>
      <c r="R166" s="2">
        <v>43405</v>
      </c>
      <c r="S166" s="2">
        <v>46386</v>
      </c>
      <c r="T166" s="2">
        <v>46387</v>
      </c>
      <c r="U166" s="37" t="s">
        <v>422</v>
      </c>
      <c r="V166" s="2">
        <f t="shared" si="22"/>
        <v>46386</v>
      </c>
      <c r="W166" t="str">
        <f t="shared" si="23"/>
        <v>BZ</v>
      </c>
      <c r="X166" s="35" t="str">
        <f t="shared" si="21"/>
        <v>NYMEX</v>
      </c>
    </row>
    <row r="167" spans="17:24" x14ac:dyDescent="0.2">
      <c r="Q167" s="18" t="s">
        <v>251</v>
      </c>
      <c r="R167" s="2">
        <v>43405</v>
      </c>
      <c r="S167" s="2">
        <v>46416</v>
      </c>
      <c r="T167" s="2">
        <v>46419</v>
      </c>
      <c r="U167" s="37" t="s">
        <v>422</v>
      </c>
      <c r="V167" s="2">
        <f t="shared" si="22"/>
        <v>46416</v>
      </c>
      <c r="W167" t="str">
        <f t="shared" si="23"/>
        <v>BZ</v>
      </c>
      <c r="X167" s="35" t="str">
        <f t="shared" si="21"/>
        <v>NYMEX</v>
      </c>
    </row>
    <row r="168" spans="17:24" x14ac:dyDescent="0.2">
      <c r="Q168" s="18" t="s">
        <v>252</v>
      </c>
      <c r="R168" s="2">
        <v>43770</v>
      </c>
      <c r="S168" s="2">
        <v>46444</v>
      </c>
      <c r="T168" s="2">
        <v>46447</v>
      </c>
      <c r="U168" s="37" t="s">
        <v>422</v>
      </c>
      <c r="V168" s="2">
        <f t="shared" si="22"/>
        <v>46444</v>
      </c>
      <c r="W168" t="str">
        <f t="shared" si="23"/>
        <v>BZ</v>
      </c>
      <c r="X168" s="35" t="str">
        <f t="shared" si="21"/>
        <v>NYMEX</v>
      </c>
    </row>
    <row r="169" spans="17:24" x14ac:dyDescent="0.2">
      <c r="Q169" s="18" t="s">
        <v>253</v>
      </c>
      <c r="R169" s="2">
        <v>43770</v>
      </c>
      <c r="S169" s="2">
        <v>46477</v>
      </c>
      <c r="T169" s="2">
        <v>46478</v>
      </c>
      <c r="U169" s="37" t="s">
        <v>422</v>
      </c>
      <c r="V169" s="2">
        <f t="shared" si="22"/>
        <v>46477</v>
      </c>
      <c r="W169" t="str">
        <f t="shared" si="23"/>
        <v>BZ</v>
      </c>
      <c r="X169" s="35" t="str">
        <f t="shared" si="21"/>
        <v>NYMEX</v>
      </c>
    </row>
    <row r="170" spans="17:24" x14ac:dyDescent="0.2">
      <c r="Q170" s="18" t="s">
        <v>254</v>
      </c>
      <c r="R170" s="2">
        <v>43770</v>
      </c>
      <c r="S170" s="2">
        <v>46507</v>
      </c>
      <c r="T170" s="2">
        <v>46510</v>
      </c>
      <c r="U170" s="37" t="s">
        <v>422</v>
      </c>
      <c r="V170" s="2">
        <f t="shared" si="22"/>
        <v>46507</v>
      </c>
      <c r="W170" t="str">
        <f t="shared" si="23"/>
        <v>BZ</v>
      </c>
      <c r="X170" s="35" t="str">
        <f t="shared" si="21"/>
        <v>NYMEX</v>
      </c>
    </row>
    <row r="171" spans="17:24" x14ac:dyDescent="0.2">
      <c r="Q171" s="18" t="s">
        <v>255</v>
      </c>
      <c r="R171" s="2">
        <v>43770</v>
      </c>
      <c r="S171" s="2">
        <v>46535</v>
      </c>
      <c r="T171" s="2">
        <v>46539</v>
      </c>
      <c r="U171" s="37" t="s">
        <v>422</v>
      </c>
      <c r="V171" s="2">
        <f t="shared" si="22"/>
        <v>46535</v>
      </c>
      <c r="W171" t="str">
        <f t="shared" si="23"/>
        <v>BZ</v>
      </c>
      <c r="X171" s="35" t="str">
        <f t="shared" si="21"/>
        <v>NYMEX</v>
      </c>
    </row>
    <row r="172" spans="17:24" x14ac:dyDescent="0.2">
      <c r="Q172" s="18" t="s">
        <v>256</v>
      </c>
      <c r="R172" s="2">
        <v>43770</v>
      </c>
      <c r="S172" s="2">
        <v>46568</v>
      </c>
      <c r="T172" s="2">
        <v>46569</v>
      </c>
      <c r="U172" s="37" t="s">
        <v>422</v>
      </c>
      <c r="V172" s="2">
        <f t="shared" si="22"/>
        <v>46568</v>
      </c>
      <c r="W172" t="str">
        <f t="shared" si="23"/>
        <v>BZ</v>
      </c>
      <c r="X172" s="35" t="str">
        <f t="shared" si="21"/>
        <v>NYMEX</v>
      </c>
    </row>
    <row r="173" spans="17:24" x14ac:dyDescent="0.2">
      <c r="Q173" s="18" t="s">
        <v>257</v>
      </c>
      <c r="R173" s="2">
        <v>43770</v>
      </c>
      <c r="S173" s="2">
        <v>46598</v>
      </c>
      <c r="T173" s="2">
        <v>46601</v>
      </c>
      <c r="U173" s="37" t="s">
        <v>422</v>
      </c>
      <c r="V173" s="2">
        <f t="shared" si="22"/>
        <v>46598</v>
      </c>
      <c r="W173" t="str">
        <f t="shared" si="23"/>
        <v>BZ</v>
      </c>
      <c r="X173" s="35" t="str">
        <f t="shared" si="21"/>
        <v>NYMEX</v>
      </c>
    </row>
    <row r="174" spans="17:24" x14ac:dyDescent="0.2">
      <c r="Q174" s="18" t="s">
        <v>258</v>
      </c>
      <c r="R174" s="2">
        <v>43770</v>
      </c>
      <c r="S174" s="2">
        <v>46630</v>
      </c>
      <c r="T174" s="2">
        <v>46631</v>
      </c>
      <c r="U174" s="37" t="s">
        <v>422</v>
      </c>
      <c r="V174" s="2">
        <f t="shared" si="22"/>
        <v>46630</v>
      </c>
      <c r="W174" t="str">
        <f t="shared" si="23"/>
        <v>BZ</v>
      </c>
      <c r="X174" s="35" t="str">
        <f t="shared" si="21"/>
        <v>NYMEX</v>
      </c>
    </row>
    <row r="175" spans="17:24" x14ac:dyDescent="0.2">
      <c r="Q175" s="18" t="s">
        <v>259</v>
      </c>
      <c r="R175" s="2">
        <v>43770</v>
      </c>
      <c r="S175" s="2">
        <v>46660</v>
      </c>
      <c r="T175" s="2">
        <v>46661</v>
      </c>
      <c r="U175" s="37" t="s">
        <v>422</v>
      </c>
      <c r="V175" s="2">
        <f t="shared" si="22"/>
        <v>46660</v>
      </c>
      <c r="W175" t="str">
        <f t="shared" si="23"/>
        <v>BZ</v>
      </c>
      <c r="X175" s="35" t="str">
        <f t="shared" si="21"/>
        <v>NYMEX</v>
      </c>
    </row>
    <row r="176" spans="17:24" x14ac:dyDescent="0.2">
      <c r="Q176" s="18" t="s">
        <v>260</v>
      </c>
      <c r="R176" s="2">
        <v>43770</v>
      </c>
      <c r="S176" s="2">
        <v>46689</v>
      </c>
      <c r="T176" s="2">
        <v>46692</v>
      </c>
      <c r="U176" s="37" t="s">
        <v>422</v>
      </c>
      <c r="V176" s="2">
        <f t="shared" si="22"/>
        <v>46689</v>
      </c>
      <c r="W176" t="str">
        <f t="shared" si="23"/>
        <v>BZ</v>
      </c>
      <c r="X176" s="35" t="str">
        <f t="shared" si="21"/>
        <v>NYMEX</v>
      </c>
    </row>
    <row r="177" spans="17:24" x14ac:dyDescent="0.2">
      <c r="Q177" s="18" t="s">
        <v>261</v>
      </c>
      <c r="R177" s="2">
        <v>43770</v>
      </c>
      <c r="S177" s="2">
        <v>46721</v>
      </c>
      <c r="T177" s="2">
        <v>46722</v>
      </c>
      <c r="U177" s="37" t="s">
        <v>422</v>
      </c>
      <c r="V177" s="2">
        <f t="shared" si="22"/>
        <v>46721</v>
      </c>
      <c r="W177" t="str">
        <f t="shared" si="23"/>
        <v>BZ</v>
      </c>
      <c r="X177" s="35" t="str">
        <f t="shared" si="21"/>
        <v>NYMEX</v>
      </c>
    </row>
    <row r="178" spans="17:24" x14ac:dyDescent="0.2">
      <c r="Q178" s="18" t="s">
        <v>262</v>
      </c>
      <c r="R178" s="2">
        <v>43770</v>
      </c>
      <c r="S178" s="2">
        <v>46751</v>
      </c>
      <c r="T178" s="2">
        <v>46752</v>
      </c>
      <c r="U178" s="37" t="s">
        <v>422</v>
      </c>
      <c r="V178" s="2">
        <f t="shared" si="22"/>
        <v>46751</v>
      </c>
      <c r="W178" t="str">
        <f t="shared" si="23"/>
        <v>BZ</v>
      </c>
      <c r="X178" s="35" t="str">
        <f t="shared" si="21"/>
        <v>NYMEX</v>
      </c>
    </row>
    <row r="179" spans="17:24" x14ac:dyDescent="0.2">
      <c r="Q179" s="18" t="s">
        <v>263</v>
      </c>
      <c r="R179" s="2">
        <v>43770</v>
      </c>
      <c r="S179" s="2">
        <v>46783</v>
      </c>
      <c r="T179" s="2">
        <v>46784</v>
      </c>
      <c r="U179" s="37" t="s">
        <v>422</v>
      </c>
      <c r="V179" s="2">
        <f t="shared" si="22"/>
        <v>46783</v>
      </c>
      <c r="W179" t="str">
        <f t="shared" si="23"/>
        <v>BZ</v>
      </c>
      <c r="X179" s="35" t="str">
        <f t="shared" si="21"/>
        <v>NYMEX</v>
      </c>
    </row>
    <row r="180" spans="17:24" x14ac:dyDescent="0.2">
      <c r="Q180" s="18" t="s">
        <v>264</v>
      </c>
      <c r="R180" s="2">
        <v>44137</v>
      </c>
      <c r="S180" s="2">
        <v>46812</v>
      </c>
      <c r="T180" s="2">
        <v>46813</v>
      </c>
      <c r="U180" s="37" t="s">
        <v>422</v>
      </c>
      <c r="V180" s="2">
        <f t="shared" si="22"/>
        <v>46812</v>
      </c>
      <c r="W180" t="str">
        <f t="shared" si="23"/>
        <v>BZ</v>
      </c>
      <c r="X180" s="35" t="str">
        <f t="shared" si="21"/>
        <v>NYMEX</v>
      </c>
    </row>
    <row r="181" spans="17:24" x14ac:dyDescent="0.2">
      <c r="Q181" s="18" t="s">
        <v>265</v>
      </c>
      <c r="R181" s="2">
        <v>44137</v>
      </c>
      <c r="S181" s="2">
        <v>46843</v>
      </c>
      <c r="T181" s="2">
        <v>46846</v>
      </c>
      <c r="U181" s="37" t="s">
        <v>422</v>
      </c>
      <c r="V181" s="2">
        <f t="shared" si="22"/>
        <v>46843</v>
      </c>
      <c r="W181" t="str">
        <f t="shared" si="23"/>
        <v>BZ</v>
      </c>
      <c r="X181" s="35" t="str">
        <f t="shared" si="21"/>
        <v>NYMEX</v>
      </c>
    </row>
    <row r="182" spans="17:24" x14ac:dyDescent="0.2">
      <c r="Q182" s="18" t="s">
        <v>266</v>
      </c>
      <c r="R182" s="2">
        <v>44137</v>
      </c>
      <c r="S182" s="2">
        <v>46871</v>
      </c>
      <c r="T182" s="2">
        <v>46874</v>
      </c>
      <c r="U182" s="37" t="s">
        <v>422</v>
      </c>
      <c r="V182" s="2">
        <f t="shared" si="22"/>
        <v>46871</v>
      </c>
      <c r="W182" t="str">
        <f t="shared" si="23"/>
        <v>BZ</v>
      </c>
      <c r="X182" s="35" t="str">
        <f t="shared" si="21"/>
        <v>NYMEX</v>
      </c>
    </row>
    <row r="183" spans="17:24" x14ac:dyDescent="0.2">
      <c r="Q183" s="18" t="s">
        <v>267</v>
      </c>
      <c r="R183" s="2">
        <v>44137</v>
      </c>
      <c r="S183" s="2">
        <v>46904</v>
      </c>
      <c r="T183" s="2">
        <v>46905</v>
      </c>
      <c r="U183" s="37" t="s">
        <v>422</v>
      </c>
      <c r="V183" s="2">
        <f t="shared" si="22"/>
        <v>46904</v>
      </c>
      <c r="W183" t="str">
        <f t="shared" si="23"/>
        <v>BZ</v>
      </c>
      <c r="X183" s="35" t="str">
        <f t="shared" si="21"/>
        <v>NYMEX</v>
      </c>
    </row>
    <row r="184" spans="17:24" x14ac:dyDescent="0.2">
      <c r="Q184" s="18" t="s">
        <v>268</v>
      </c>
      <c r="R184" s="2">
        <v>44137</v>
      </c>
      <c r="S184" s="2">
        <v>46934</v>
      </c>
      <c r="T184" s="2">
        <v>46937</v>
      </c>
      <c r="U184" s="37" t="s">
        <v>422</v>
      </c>
      <c r="V184" s="2">
        <f t="shared" si="22"/>
        <v>46934</v>
      </c>
      <c r="W184" t="str">
        <f t="shared" si="23"/>
        <v>BZ</v>
      </c>
      <c r="X184" s="35" t="str">
        <f t="shared" si="21"/>
        <v>NYMEX</v>
      </c>
    </row>
    <row r="185" spans="17:24" x14ac:dyDescent="0.2">
      <c r="Q185" s="18" t="s">
        <v>269</v>
      </c>
      <c r="R185" s="2">
        <v>44137</v>
      </c>
      <c r="S185" s="2">
        <v>46965</v>
      </c>
      <c r="T185" s="2">
        <v>46966</v>
      </c>
      <c r="U185" s="37" t="s">
        <v>422</v>
      </c>
      <c r="V185" s="2">
        <f t="shared" si="22"/>
        <v>46965</v>
      </c>
      <c r="W185" t="str">
        <f t="shared" si="23"/>
        <v>BZ</v>
      </c>
      <c r="X185" s="35" t="str">
        <f t="shared" si="21"/>
        <v>NYMEX</v>
      </c>
    </row>
    <row r="186" spans="17:24" x14ac:dyDescent="0.2">
      <c r="Q186" s="18" t="s">
        <v>270</v>
      </c>
      <c r="R186" s="2">
        <v>44137</v>
      </c>
      <c r="S186" s="2">
        <v>46996</v>
      </c>
      <c r="T186" s="2">
        <v>46997</v>
      </c>
      <c r="U186" s="37" t="s">
        <v>422</v>
      </c>
      <c r="V186" s="2">
        <f t="shared" si="22"/>
        <v>46996</v>
      </c>
      <c r="W186" t="str">
        <f t="shared" si="23"/>
        <v>BZ</v>
      </c>
      <c r="X186" s="35" t="str">
        <f t="shared" si="21"/>
        <v>NYMEX</v>
      </c>
    </row>
    <row r="187" spans="17:24" x14ac:dyDescent="0.2">
      <c r="Q187" s="18" t="s">
        <v>271</v>
      </c>
      <c r="R187" s="2">
        <v>44137</v>
      </c>
      <c r="S187" s="2">
        <v>47025</v>
      </c>
      <c r="T187" s="2">
        <v>47028</v>
      </c>
      <c r="U187" s="37" t="s">
        <v>422</v>
      </c>
      <c r="V187" s="2">
        <f t="shared" si="22"/>
        <v>47025</v>
      </c>
      <c r="W187" t="str">
        <f t="shared" si="23"/>
        <v>BZ</v>
      </c>
      <c r="X187" s="35" t="str">
        <f t="shared" si="21"/>
        <v>NYMEX</v>
      </c>
    </row>
    <row r="188" spans="17:24" x14ac:dyDescent="0.2">
      <c r="Q188" s="18" t="s">
        <v>272</v>
      </c>
      <c r="R188" s="2">
        <v>44137</v>
      </c>
      <c r="S188" s="2">
        <v>47057</v>
      </c>
      <c r="T188" s="2">
        <v>47058</v>
      </c>
      <c r="U188" s="37" t="s">
        <v>422</v>
      </c>
      <c r="V188" s="2">
        <f t="shared" si="22"/>
        <v>47057</v>
      </c>
      <c r="W188" t="str">
        <f t="shared" si="23"/>
        <v>BZ</v>
      </c>
      <c r="X188" s="35" t="str">
        <f t="shared" si="21"/>
        <v>NYMEX</v>
      </c>
    </row>
    <row r="189" spans="17:24" x14ac:dyDescent="0.2">
      <c r="Q189" s="18" t="s">
        <v>273</v>
      </c>
      <c r="R189" s="2">
        <v>44137</v>
      </c>
      <c r="S189" s="2">
        <v>47087</v>
      </c>
      <c r="T189" s="2">
        <v>47088</v>
      </c>
      <c r="U189" s="37" t="s">
        <v>422</v>
      </c>
      <c r="V189" s="2">
        <f t="shared" si="22"/>
        <v>47087</v>
      </c>
      <c r="W189" t="str">
        <f t="shared" si="23"/>
        <v>BZ</v>
      </c>
      <c r="X189" s="35" t="str">
        <f t="shared" si="21"/>
        <v>NYMEX</v>
      </c>
    </row>
    <row r="190" spans="17:24" x14ac:dyDescent="0.2">
      <c r="Q190" s="18" t="s">
        <v>274</v>
      </c>
      <c r="R190" s="2">
        <v>44137</v>
      </c>
      <c r="S190" s="2">
        <v>47115</v>
      </c>
      <c r="T190" s="2">
        <v>47116</v>
      </c>
      <c r="U190" s="37" t="s">
        <v>422</v>
      </c>
      <c r="V190" s="2">
        <f t="shared" si="22"/>
        <v>47115</v>
      </c>
      <c r="W190" t="str">
        <f t="shared" si="23"/>
        <v>BZ</v>
      </c>
      <c r="X190" s="35" t="str">
        <f t="shared" si="21"/>
        <v>NYMEX</v>
      </c>
    </row>
    <row r="191" spans="17:24" x14ac:dyDescent="0.2">
      <c r="Q191" s="18" t="s">
        <v>275</v>
      </c>
      <c r="R191" s="2">
        <v>44137</v>
      </c>
      <c r="S191" s="2">
        <v>47149</v>
      </c>
      <c r="T191" s="2">
        <v>47150</v>
      </c>
      <c r="U191" s="37" t="s">
        <v>422</v>
      </c>
      <c r="V191" s="2">
        <f t="shared" si="22"/>
        <v>47149</v>
      </c>
      <c r="W191" t="str">
        <f t="shared" si="23"/>
        <v>BZ</v>
      </c>
      <c r="X191" s="35" t="str">
        <f t="shared" si="21"/>
        <v>NYMEX</v>
      </c>
    </row>
    <row r="192" spans="17:24" x14ac:dyDescent="0.2">
      <c r="Q192" s="18" t="s">
        <v>276</v>
      </c>
      <c r="R192" s="2">
        <v>44501</v>
      </c>
      <c r="S192" s="2">
        <v>47177</v>
      </c>
      <c r="T192" s="2">
        <v>47178</v>
      </c>
      <c r="U192" s="37" t="s">
        <v>422</v>
      </c>
      <c r="V192" s="2">
        <f t="shared" si="22"/>
        <v>47177</v>
      </c>
      <c r="W192" t="str">
        <f t="shared" si="23"/>
        <v>BZ</v>
      </c>
      <c r="X192" s="35" t="str">
        <f t="shared" si="21"/>
        <v>NYMEX</v>
      </c>
    </row>
    <row r="193" spans="17:24" x14ac:dyDescent="0.2">
      <c r="Q193" s="18" t="s">
        <v>277</v>
      </c>
      <c r="R193" s="2">
        <v>44501</v>
      </c>
      <c r="S193" s="2">
        <v>47206</v>
      </c>
      <c r="T193" s="2">
        <v>47210</v>
      </c>
      <c r="U193" s="37" t="s">
        <v>422</v>
      </c>
      <c r="V193" s="2">
        <f t="shared" si="22"/>
        <v>47206</v>
      </c>
      <c r="W193" t="str">
        <f t="shared" si="23"/>
        <v>BZ</v>
      </c>
      <c r="X193" s="35" t="str">
        <f t="shared" si="21"/>
        <v>NYMEX</v>
      </c>
    </row>
    <row r="194" spans="17:24" x14ac:dyDescent="0.2">
      <c r="Q194" s="18" t="s">
        <v>278</v>
      </c>
      <c r="R194" s="2">
        <v>44501</v>
      </c>
      <c r="S194" s="2">
        <v>47238</v>
      </c>
      <c r="T194" s="2">
        <v>47239</v>
      </c>
      <c r="U194" s="37" t="s">
        <v>422</v>
      </c>
      <c r="V194" s="2">
        <f t="shared" si="22"/>
        <v>47238</v>
      </c>
      <c r="W194" t="str">
        <f t="shared" si="23"/>
        <v>BZ</v>
      </c>
      <c r="X194" s="35" t="str">
        <f t="shared" si="21"/>
        <v>NYMEX</v>
      </c>
    </row>
    <row r="195" spans="17:24" x14ac:dyDescent="0.2">
      <c r="Q195" s="18" t="s">
        <v>279</v>
      </c>
      <c r="R195" s="2">
        <v>44501</v>
      </c>
      <c r="S195" s="2">
        <v>47269</v>
      </c>
      <c r="T195" s="2">
        <v>47270</v>
      </c>
      <c r="U195" s="37" t="s">
        <v>422</v>
      </c>
      <c r="V195" s="2">
        <f t="shared" si="22"/>
        <v>47269</v>
      </c>
      <c r="W195" t="str">
        <f t="shared" si="23"/>
        <v>BZ</v>
      </c>
      <c r="X195" s="35" t="str">
        <f t="shared" ref="X195:X258" si="24">IFERROR(INDEX(AD:AD, MATCH(W195,AC:AC,0)),"---")</f>
        <v>NYMEX</v>
      </c>
    </row>
    <row r="196" spans="17:24" x14ac:dyDescent="0.2">
      <c r="Q196" s="18" t="s">
        <v>280</v>
      </c>
      <c r="R196" s="2">
        <v>44501</v>
      </c>
      <c r="S196" s="2">
        <v>47298</v>
      </c>
      <c r="T196" s="2">
        <v>47301</v>
      </c>
      <c r="U196" s="37" t="s">
        <v>422</v>
      </c>
      <c r="V196" s="2">
        <f t="shared" ref="V196:V259" si="25">MIN(S196:U196)</f>
        <v>47298</v>
      </c>
      <c r="W196" t="str">
        <f t="shared" ref="W196:W259" si="26">MID(Q196,1,LEN(Q196)-3)</f>
        <v>BZ</v>
      </c>
      <c r="X196" s="35" t="str">
        <f t="shared" si="24"/>
        <v>NYMEX</v>
      </c>
    </row>
    <row r="197" spans="17:24" x14ac:dyDescent="0.2">
      <c r="Q197" s="18" t="s">
        <v>281</v>
      </c>
      <c r="R197" s="2">
        <v>44501</v>
      </c>
      <c r="S197" s="2">
        <v>47330</v>
      </c>
      <c r="T197" s="2">
        <v>47331</v>
      </c>
      <c r="U197" s="37" t="s">
        <v>422</v>
      </c>
      <c r="V197" s="2">
        <f t="shared" si="25"/>
        <v>47330</v>
      </c>
      <c r="W197" t="str">
        <f t="shared" si="26"/>
        <v>BZ</v>
      </c>
      <c r="X197" s="35" t="str">
        <f t="shared" si="24"/>
        <v>NYMEX</v>
      </c>
    </row>
    <row r="198" spans="17:24" x14ac:dyDescent="0.2">
      <c r="Q198" s="18" t="s">
        <v>282</v>
      </c>
      <c r="R198" s="2">
        <v>44501</v>
      </c>
      <c r="S198" s="2">
        <v>47361</v>
      </c>
      <c r="T198" s="2">
        <v>47365</v>
      </c>
      <c r="U198" s="37" t="s">
        <v>422</v>
      </c>
      <c r="V198" s="2">
        <f t="shared" si="25"/>
        <v>47361</v>
      </c>
      <c r="W198" t="str">
        <f t="shared" si="26"/>
        <v>BZ</v>
      </c>
      <c r="X198" s="35" t="str">
        <f t="shared" si="24"/>
        <v>NYMEX</v>
      </c>
    </row>
    <row r="199" spans="17:24" x14ac:dyDescent="0.2">
      <c r="Q199" s="18" t="s">
        <v>283</v>
      </c>
      <c r="R199" s="2">
        <v>44501</v>
      </c>
      <c r="S199" s="2">
        <v>47389</v>
      </c>
      <c r="T199" s="2">
        <v>47392</v>
      </c>
      <c r="U199" s="37" t="s">
        <v>422</v>
      </c>
      <c r="V199" s="2">
        <f t="shared" si="25"/>
        <v>47389</v>
      </c>
      <c r="W199" t="str">
        <f t="shared" si="26"/>
        <v>BZ</v>
      </c>
      <c r="X199" s="35" t="str">
        <f t="shared" si="24"/>
        <v>NYMEX</v>
      </c>
    </row>
    <row r="200" spans="17:24" x14ac:dyDescent="0.2">
      <c r="Q200" s="18" t="s">
        <v>284</v>
      </c>
      <c r="R200" s="2">
        <v>44501</v>
      </c>
      <c r="S200" s="2">
        <v>47422</v>
      </c>
      <c r="T200" s="2">
        <v>47423</v>
      </c>
      <c r="U200" s="37" t="s">
        <v>422</v>
      </c>
      <c r="V200" s="2">
        <f t="shared" si="25"/>
        <v>47422</v>
      </c>
      <c r="W200" t="str">
        <f t="shared" si="26"/>
        <v>BZ</v>
      </c>
      <c r="X200" s="35" t="str">
        <f t="shared" si="24"/>
        <v>NYMEX</v>
      </c>
    </row>
    <row r="201" spans="17:24" x14ac:dyDescent="0.2">
      <c r="Q201" s="18" t="s">
        <v>285</v>
      </c>
      <c r="R201" s="2">
        <v>44501</v>
      </c>
      <c r="S201" s="2">
        <v>47452</v>
      </c>
      <c r="T201" s="2">
        <v>47455</v>
      </c>
      <c r="U201" s="37" t="s">
        <v>422</v>
      </c>
      <c r="V201" s="2">
        <f t="shared" si="25"/>
        <v>47452</v>
      </c>
      <c r="W201" t="str">
        <f t="shared" si="26"/>
        <v>BZ</v>
      </c>
      <c r="X201" s="35" t="str">
        <f t="shared" si="24"/>
        <v>NYMEX</v>
      </c>
    </row>
    <row r="202" spans="17:24" x14ac:dyDescent="0.2">
      <c r="Q202" s="18" t="s">
        <v>286</v>
      </c>
      <c r="R202" s="2">
        <v>44501</v>
      </c>
      <c r="S202" s="2">
        <v>47480</v>
      </c>
      <c r="T202" s="2">
        <v>47483</v>
      </c>
      <c r="U202" s="37" t="s">
        <v>422</v>
      </c>
      <c r="V202" s="2">
        <f t="shared" si="25"/>
        <v>47480</v>
      </c>
      <c r="W202" t="str">
        <f t="shared" si="26"/>
        <v>BZ</v>
      </c>
      <c r="X202" s="35" t="str">
        <f t="shared" si="24"/>
        <v>NYMEX</v>
      </c>
    </row>
    <row r="203" spans="17:24" x14ac:dyDescent="0.2">
      <c r="Q203" s="18" t="s">
        <v>287</v>
      </c>
      <c r="R203" s="2">
        <v>44501</v>
      </c>
      <c r="S203" s="2">
        <v>47514</v>
      </c>
      <c r="T203" s="2">
        <v>47515</v>
      </c>
      <c r="U203" s="37" t="s">
        <v>422</v>
      </c>
      <c r="V203" s="2">
        <f t="shared" si="25"/>
        <v>47514</v>
      </c>
      <c r="W203" t="str">
        <f t="shared" si="26"/>
        <v>BZ</v>
      </c>
      <c r="X203" s="35" t="str">
        <f t="shared" si="24"/>
        <v>NYMEX</v>
      </c>
    </row>
    <row r="204" spans="17:24" x14ac:dyDescent="0.2">
      <c r="Q204" s="18" t="s">
        <v>288</v>
      </c>
      <c r="R204" s="2">
        <v>44866</v>
      </c>
      <c r="S204" s="2">
        <v>47542</v>
      </c>
      <c r="T204" s="2">
        <v>47543</v>
      </c>
      <c r="U204" s="37" t="s">
        <v>422</v>
      </c>
      <c r="V204" s="2">
        <f t="shared" si="25"/>
        <v>47542</v>
      </c>
      <c r="W204" t="str">
        <f t="shared" si="26"/>
        <v>BZ</v>
      </c>
      <c r="X204" s="35" t="str">
        <f t="shared" si="24"/>
        <v>NYMEX</v>
      </c>
    </row>
    <row r="205" spans="17:24" x14ac:dyDescent="0.2">
      <c r="Q205" s="18" t="s">
        <v>289</v>
      </c>
      <c r="R205" s="2">
        <v>44866</v>
      </c>
      <c r="S205" s="2">
        <v>47571</v>
      </c>
      <c r="T205" s="2">
        <v>47574</v>
      </c>
      <c r="U205" s="37" t="s">
        <v>422</v>
      </c>
      <c r="V205" s="2">
        <f t="shared" si="25"/>
        <v>47571</v>
      </c>
      <c r="W205" t="str">
        <f t="shared" si="26"/>
        <v>BZ</v>
      </c>
      <c r="X205" s="35" t="str">
        <f t="shared" si="24"/>
        <v>NYMEX</v>
      </c>
    </row>
    <row r="206" spans="17:24" x14ac:dyDescent="0.2">
      <c r="Q206" s="18" t="s">
        <v>290</v>
      </c>
      <c r="R206" s="2">
        <v>44866</v>
      </c>
      <c r="S206" s="2">
        <v>47603</v>
      </c>
      <c r="T206" s="2">
        <v>47604</v>
      </c>
      <c r="U206" s="37" t="s">
        <v>422</v>
      </c>
      <c r="V206" s="2">
        <f t="shared" si="25"/>
        <v>47603</v>
      </c>
      <c r="W206" t="str">
        <f t="shared" si="26"/>
        <v>BZ</v>
      </c>
      <c r="X206" s="35" t="str">
        <f t="shared" si="24"/>
        <v>NYMEX</v>
      </c>
    </row>
    <row r="207" spans="17:24" x14ac:dyDescent="0.2">
      <c r="Q207" s="18" t="s">
        <v>291</v>
      </c>
      <c r="R207" s="2">
        <v>44866</v>
      </c>
      <c r="S207" s="2">
        <v>47634</v>
      </c>
      <c r="T207" s="2">
        <v>47637</v>
      </c>
      <c r="U207" s="37" t="s">
        <v>422</v>
      </c>
      <c r="V207" s="2">
        <f t="shared" si="25"/>
        <v>47634</v>
      </c>
      <c r="W207" t="str">
        <f t="shared" si="26"/>
        <v>BZ</v>
      </c>
      <c r="X207" s="35" t="str">
        <f t="shared" si="24"/>
        <v>NYMEX</v>
      </c>
    </row>
    <row r="208" spans="17:24" x14ac:dyDescent="0.2">
      <c r="Q208" s="18" t="s">
        <v>292</v>
      </c>
      <c r="R208" s="2">
        <v>44866</v>
      </c>
      <c r="S208" s="2">
        <v>47662</v>
      </c>
      <c r="T208" s="2">
        <v>47665</v>
      </c>
      <c r="U208" s="37" t="s">
        <v>422</v>
      </c>
      <c r="V208" s="2">
        <f t="shared" si="25"/>
        <v>47662</v>
      </c>
      <c r="W208" t="str">
        <f t="shared" si="26"/>
        <v>BZ</v>
      </c>
      <c r="X208" s="35" t="str">
        <f t="shared" si="24"/>
        <v>NYMEX</v>
      </c>
    </row>
    <row r="209" spans="17:24" x14ac:dyDescent="0.2">
      <c r="Q209" s="18" t="s">
        <v>293</v>
      </c>
      <c r="R209" s="2">
        <v>44866</v>
      </c>
      <c r="S209" s="2">
        <v>47695</v>
      </c>
      <c r="T209" s="2">
        <v>47696</v>
      </c>
      <c r="U209" s="37" t="s">
        <v>422</v>
      </c>
      <c r="V209" s="2">
        <f t="shared" si="25"/>
        <v>47695</v>
      </c>
      <c r="W209" t="str">
        <f t="shared" si="26"/>
        <v>BZ</v>
      </c>
      <c r="X209" s="35" t="str">
        <f t="shared" si="24"/>
        <v>NYMEX</v>
      </c>
    </row>
    <row r="210" spans="17:24" x14ac:dyDescent="0.2">
      <c r="Q210" s="18" t="s">
        <v>294</v>
      </c>
      <c r="R210" s="2">
        <v>44866</v>
      </c>
      <c r="S210" s="2">
        <v>47725</v>
      </c>
      <c r="T210" s="2">
        <v>47729</v>
      </c>
      <c r="U210" s="37" t="s">
        <v>422</v>
      </c>
      <c r="V210" s="2">
        <f t="shared" si="25"/>
        <v>47725</v>
      </c>
      <c r="W210" t="str">
        <f t="shared" si="26"/>
        <v>BZ</v>
      </c>
      <c r="X210" s="35" t="str">
        <f t="shared" si="24"/>
        <v>NYMEX</v>
      </c>
    </row>
    <row r="211" spans="17:24" x14ac:dyDescent="0.2">
      <c r="Q211" s="18" t="s">
        <v>295</v>
      </c>
      <c r="R211" s="2">
        <v>44866</v>
      </c>
      <c r="S211" s="2">
        <v>47756</v>
      </c>
      <c r="T211" s="2">
        <v>47757</v>
      </c>
      <c r="U211" s="37" t="s">
        <v>422</v>
      </c>
      <c r="V211" s="2">
        <f t="shared" si="25"/>
        <v>47756</v>
      </c>
      <c r="W211" t="str">
        <f t="shared" si="26"/>
        <v>BZ</v>
      </c>
      <c r="X211" s="35" t="str">
        <f t="shared" si="24"/>
        <v>NYMEX</v>
      </c>
    </row>
    <row r="212" spans="17:24" x14ac:dyDescent="0.2">
      <c r="Q212" s="18" t="s">
        <v>296</v>
      </c>
      <c r="R212" s="2">
        <v>44866</v>
      </c>
      <c r="S212" s="2">
        <v>47787</v>
      </c>
      <c r="T212" s="2">
        <v>47788</v>
      </c>
      <c r="U212" s="37" t="s">
        <v>422</v>
      </c>
      <c r="V212" s="2">
        <f t="shared" si="25"/>
        <v>47787</v>
      </c>
      <c r="W212" t="str">
        <f t="shared" si="26"/>
        <v>BZ</v>
      </c>
      <c r="X212" s="35" t="str">
        <f t="shared" si="24"/>
        <v>NYMEX</v>
      </c>
    </row>
    <row r="213" spans="17:24" x14ac:dyDescent="0.2">
      <c r="Q213" s="18" t="s">
        <v>297</v>
      </c>
      <c r="R213" s="2">
        <v>44866</v>
      </c>
      <c r="S213" s="2">
        <v>47816</v>
      </c>
      <c r="T213" s="2">
        <v>47819</v>
      </c>
      <c r="U213" s="37" t="s">
        <v>422</v>
      </c>
      <c r="V213" s="2">
        <f t="shared" si="25"/>
        <v>47816</v>
      </c>
      <c r="W213" t="str">
        <f t="shared" si="26"/>
        <v>BZ</v>
      </c>
      <c r="X213" s="35" t="str">
        <f t="shared" si="24"/>
        <v>NYMEX</v>
      </c>
    </row>
    <row r="214" spans="17:24" x14ac:dyDescent="0.2">
      <c r="Q214" s="18" t="s">
        <v>298</v>
      </c>
      <c r="R214" s="2">
        <v>44866</v>
      </c>
      <c r="S214" s="2">
        <v>47847</v>
      </c>
      <c r="T214" s="2">
        <v>47848</v>
      </c>
      <c r="U214" s="37" t="s">
        <v>422</v>
      </c>
      <c r="V214" s="2">
        <f t="shared" si="25"/>
        <v>47847</v>
      </c>
      <c r="W214" t="str">
        <f t="shared" si="26"/>
        <v>BZ</v>
      </c>
      <c r="X214" s="35" t="str">
        <f t="shared" si="24"/>
        <v>NYMEX</v>
      </c>
    </row>
    <row r="215" spans="17:24" x14ac:dyDescent="0.2">
      <c r="Q215" s="18" t="s">
        <v>299</v>
      </c>
      <c r="R215" s="2">
        <v>44866</v>
      </c>
      <c r="S215" s="2">
        <v>47879</v>
      </c>
      <c r="T215" s="2">
        <v>47882</v>
      </c>
      <c r="U215" s="37" t="s">
        <v>422</v>
      </c>
      <c r="V215" s="2">
        <f t="shared" si="25"/>
        <v>47879</v>
      </c>
      <c r="W215" t="str">
        <f t="shared" si="26"/>
        <v>BZ</v>
      </c>
      <c r="X215" s="35" t="str">
        <f t="shared" si="24"/>
        <v>NYMEX</v>
      </c>
    </row>
    <row r="216" spans="17:24" x14ac:dyDescent="0.2">
      <c r="Q216" s="18" t="s">
        <v>300</v>
      </c>
      <c r="R216" s="2">
        <v>45231</v>
      </c>
      <c r="S216" s="2">
        <v>47907</v>
      </c>
      <c r="T216" s="2">
        <v>47910</v>
      </c>
      <c r="U216" s="37" t="s">
        <v>422</v>
      </c>
      <c r="V216" s="2">
        <f t="shared" si="25"/>
        <v>47907</v>
      </c>
      <c r="W216" t="str">
        <f t="shared" si="26"/>
        <v>BZ</v>
      </c>
      <c r="X216" s="35" t="str">
        <f t="shared" si="24"/>
        <v>NYMEX</v>
      </c>
    </row>
    <row r="217" spans="17:24" x14ac:dyDescent="0.2">
      <c r="Q217" s="18" t="s">
        <v>301</v>
      </c>
      <c r="R217" s="2">
        <v>45231</v>
      </c>
      <c r="S217" s="2">
        <v>47938</v>
      </c>
      <c r="T217" s="2">
        <v>47939</v>
      </c>
      <c r="U217" s="37" t="s">
        <v>422</v>
      </c>
      <c r="V217" s="2">
        <f t="shared" si="25"/>
        <v>47938</v>
      </c>
      <c r="W217" t="str">
        <f t="shared" si="26"/>
        <v>BZ</v>
      </c>
      <c r="X217" s="35" t="str">
        <f t="shared" si="24"/>
        <v>NYMEX</v>
      </c>
    </row>
    <row r="218" spans="17:24" x14ac:dyDescent="0.2">
      <c r="Q218" s="18" t="s">
        <v>302</v>
      </c>
      <c r="R218" s="2">
        <v>45231</v>
      </c>
      <c r="S218" s="2">
        <v>47968</v>
      </c>
      <c r="T218" s="2">
        <v>47969</v>
      </c>
      <c r="U218" s="37" t="s">
        <v>422</v>
      </c>
      <c r="V218" s="2">
        <f t="shared" si="25"/>
        <v>47968</v>
      </c>
      <c r="W218" t="str">
        <f t="shared" si="26"/>
        <v>BZ</v>
      </c>
      <c r="X218" s="35" t="str">
        <f t="shared" si="24"/>
        <v>NYMEX</v>
      </c>
    </row>
    <row r="219" spans="17:24" x14ac:dyDescent="0.2">
      <c r="Q219" s="18" t="s">
        <v>303</v>
      </c>
      <c r="R219" s="2">
        <v>45231</v>
      </c>
      <c r="S219" s="2">
        <v>47998</v>
      </c>
      <c r="T219" s="2">
        <v>48001</v>
      </c>
      <c r="U219" s="37" t="s">
        <v>422</v>
      </c>
      <c r="V219" s="2">
        <f t="shared" si="25"/>
        <v>47998</v>
      </c>
      <c r="W219" t="str">
        <f t="shared" si="26"/>
        <v>BZ</v>
      </c>
      <c r="X219" s="35" t="str">
        <f t="shared" si="24"/>
        <v>NYMEX</v>
      </c>
    </row>
    <row r="220" spans="17:24" x14ac:dyDescent="0.2">
      <c r="Q220" s="18" t="s">
        <v>304</v>
      </c>
      <c r="R220" s="2">
        <v>45231</v>
      </c>
      <c r="S220" s="2">
        <v>48029</v>
      </c>
      <c r="T220" s="2">
        <v>48030</v>
      </c>
      <c r="U220" s="37" t="s">
        <v>422</v>
      </c>
      <c r="V220" s="2">
        <f t="shared" si="25"/>
        <v>48029</v>
      </c>
      <c r="W220" t="str">
        <f t="shared" si="26"/>
        <v>BZ</v>
      </c>
      <c r="X220" s="35" t="str">
        <f t="shared" si="24"/>
        <v>NYMEX</v>
      </c>
    </row>
    <row r="221" spans="17:24" x14ac:dyDescent="0.2">
      <c r="Q221" s="18" t="s">
        <v>305</v>
      </c>
      <c r="R221" s="2">
        <v>45231</v>
      </c>
      <c r="S221" s="2">
        <v>48060</v>
      </c>
      <c r="T221" s="2">
        <v>48061</v>
      </c>
      <c r="U221" s="37" t="s">
        <v>422</v>
      </c>
      <c r="V221" s="2">
        <f t="shared" si="25"/>
        <v>48060</v>
      </c>
      <c r="W221" t="str">
        <f t="shared" si="26"/>
        <v>BZ</v>
      </c>
      <c r="X221" s="35" t="str">
        <f t="shared" si="24"/>
        <v>NYMEX</v>
      </c>
    </row>
    <row r="222" spans="17:24" x14ac:dyDescent="0.2">
      <c r="Q222" s="18" t="s">
        <v>306</v>
      </c>
      <c r="R222" s="2">
        <v>45231</v>
      </c>
      <c r="S222" s="2">
        <v>48089</v>
      </c>
      <c r="T222" s="2">
        <v>48093</v>
      </c>
      <c r="U222" s="37" t="s">
        <v>422</v>
      </c>
      <c r="V222" s="2">
        <f t="shared" si="25"/>
        <v>48089</v>
      </c>
      <c r="W222" t="str">
        <f t="shared" si="26"/>
        <v>BZ</v>
      </c>
      <c r="X222" s="35" t="str">
        <f t="shared" si="24"/>
        <v>NYMEX</v>
      </c>
    </row>
    <row r="223" spans="17:24" x14ac:dyDescent="0.2">
      <c r="Q223" s="18" t="s">
        <v>307</v>
      </c>
      <c r="R223" s="2">
        <v>45231</v>
      </c>
      <c r="S223" s="2">
        <v>48121</v>
      </c>
      <c r="T223" s="2">
        <v>48122</v>
      </c>
      <c r="U223" s="37" t="s">
        <v>422</v>
      </c>
      <c r="V223" s="2">
        <f t="shared" si="25"/>
        <v>48121</v>
      </c>
      <c r="W223" t="str">
        <f t="shared" si="26"/>
        <v>BZ</v>
      </c>
      <c r="X223" s="35" t="str">
        <f t="shared" si="24"/>
        <v>NYMEX</v>
      </c>
    </row>
    <row r="224" spans="17:24" x14ac:dyDescent="0.2">
      <c r="Q224" s="18" t="s">
        <v>308</v>
      </c>
      <c r="R224" s="2">
        <v>45231</v>
      </c>
      <c r="S224" s="2">
        <v>48152</v>
      </c>
      <c r="T224" s="2">
        <v>48155</v>
      </c>
      <c r="U224" s="37" t="s">
        <v>422</v>
      </c>
      <c r="V224" s="2">
        <f t="shared" si="25"/>
        <v>48152</v>
      </c>
      <c r="W224" t="str">
        <f t="shared" si="26"/>
        <v>BZ</v>
      </c>
      <c r="X224" s="35" t="str">
        <f t="shared" si="24"/>
        <v>NYMEX</v>
      </c>
    </row>
    <row r="225" spans="17:24" x14ac:dyDescent="0.2">
      <c r="Q225" s="18" t="s">
        <v>309</v>
      </c>
      <c r="R225" s="2">
        <v>45231</v>
      </c>
      <c r="S225" s="2">
        <v>48180</v>
      </c>
      <c r="T225" s="2">
        <v>48183</v>
      </c>
      <c r="U225" s="37" t="s">
        <v>422</v>
      </c>
      <c r="V225" s="2">
        <f t="shared" si="25"/>
        <v>48180</v>
      </c>
      <c r="W225" t="str">
        <f t="shared" si="26"/>
        <v>BZ</v>
      </c>
      <c r="X225" s="35" t="str">
        <f t="shared" si="24"/>
        <v>NYMEX</v>
      </c>
    </row>
    <row r="226" spans="17:24" x14ac:dyDescent="0.2">
      <c r="Q226" s="18" t="s">
        <v>310</v>
      </c>
      <c r="R226" s="2">
        <v>45231</v>
      </c>
      <c r="S226" s="2">
        <v>48212</v>
      </c>
      <c r="T226" s="2">
        <v>48213</v>
      </c>
      <c r="U226" s="37" t="s">
        <v>422</v>
      </c>
      <c r="V226" s="2">
        <f t="shared" si="25"/>
        <v>48212</v>
      </c>
      <c r="W226" t="str">
        <f t="shared" si="26"/>
        <v>BZ</v>
      </c>
      <c r="X226" s="35" t="str">
        <f t="shared" si="24"/>
        <v>NYMEX</v>
      </c>
    </row>
    <row r="227" spans="17:24" x14ac:dyDescent="0.2">
      <c r="Q227" s="18" t="s">
        <v>311</v>
      </c>
      <c r="R227" s="2">
        <v>45231</v>
      </c>
      <c r="S227" s="2">
        <v>48243</v>
      </c>
      <c r="T227" s="2">
        <v>48246</v>
      </c>
      <c r="U227" s="37" t="s">
        <v>422</v>
      </c>
      <c r="V227" s="2">
        <f t="shared" si="25"/>
        <v>48243</v>
      </c>
      <c r="W227" t="str">
        <f t="shared" si="26"/>
        <v>BZ</v>
      </c>
      <c r="X227" s="35" t="str">
        <f t="shared" si="24"/>
        <v>NYMEX</v>
      </c>
    </row>
    <row r="228" spans="17:24" x14ac:dyDescent="0.2">
      <c r="Q228" s="18" t="s">
        <v>312</v>
      </c>
      <c r="R228" s="2">
        <v>45597</v>
      </c>
      <c r="S228" s="2">
        <v>48271</v>
      </c>
      <c r="T228" s="2">
        <v>48274</v>
      </c>
      <c r="U228" s="37" t="s">
        <v>422</v>
      </c>
      <c r="V228" s="2">
        <f t="shared" si="25"/>
        <v>48271</v>
      </c>
      <c r="W228" t="str">
        <f t="shared" si="26"/>
        <v>BZ</v>
      </c>
      <c r="X228" s="35" t="str">
        <f t="shared" si="24"/>
        <v>NYMEX</v>
      </c>
    </row>
    <row r="229" spans="17:24" x14ac:dyDescent="0.2">
      <c r="Q229" s="18" t="s">
        <v>313</v>
      </c>
      <c r="R229" s="2">
        <v>45597</v>
      </c>
      <c r="S229" s="2">
        <v>48304</v>
      </c>
      <c r="T229" s="2">
        <v>48305</v>
      </c>
      <c r="U229" s="37" t="s">
        <v>422</v>
      </c>
      <c r="V229" s="2">
        <f t="shared" si="25"/>
        <v>48304</v>
      </c>
      <c r="W229" t="str">
        <f t="shared" si="26"/>
        <v>BZ</v>
      </c>
      <c r="X229" s="35" t="str">
        <f t="shared" si="24"/>
        <v>NYMEX</v>
      </c>
    </row>
    <row r="230" spans="17:24" x14ac:dyDescent="0.2">
      <c r="Q230" s="18" t="s">
        <v>314</v>
      </c>
      <c r="R230" s="2">
        <v>45597</v>
      </c>
      <c r="S230" s="2">
        <v>48334</v>
      </c>
      <c r="T230" s="2">
        <v>48337</v>
      </c>
      <c r="U230" s="37" t="s">
        <v>422</v>
      </c>
      <c r="V230" s="2">
        <f t="shared" si="25"/>
        <v>48334</v>
      </c>
      <c r="W230" t="str">
        <f t="shared" si="26"/>
        <v>BZ</v>
      </c>
      <c r="X230" s="35" t="str">
        <f t="shared" si="24"/>
        <v>NYMEX</v>
      </c>
    </row>
    <row r="231" spans="17:24" x14ac:dyDescent="0.2">
      <c r="Q231" s="18" t="s">
        <v>315</v>
      </c>
      <c r="R231" s="2">
        <v>45597</v>
      </c>
      <c r="S231" s="2">
        <v>48362</v>
      </c>
      <c r="T231" s="2">
        <v>48366</v>
      </c>
      <c r="U231" s="37" t="s">
        <v>422</v>
      </c>
      <c r="V231" s="2">
        <f t="shared" si="25"/>
        <v>48362</v>
      </c>
      <c r="W231" t="str">
        <f t="shared" si="26"/>
        <v>BZ</v>
      </c>
      <c r="X231" s="35" t="str">
        <f t="shared" si="24"/>
        <v>NYMEX</v>
      </c>
    </row>
    <row r="232" spans="17:24" x14ac:dyDescent="0.2">
      <c r="Q232" s="18" t="s">
        <v>316</v>
      </c>
      <c r="R232" s="2">
        <v>45597</v>
      </c>
      <c r="S232" s="2">
        <v>48395</v>
      </c>
      <c r="T232" s="2">
        <v>48396</v>
      </c>
      <c r="U232" s="37" t="s">
        <v>422</v>
      </c>
      <c r="V232" s="2">
        <f t="shared" si="25"/>
        <v>48395</v>
      </c>
      <c r="W232" t="str">
        <f t="shared" si="26"/>
        <v>BZ</v>
      </c>
      <c r="X232" s="35" t="str">
        <f t="shared" si="24"/>
        <v>NYMEX</v>
      </c>
    </row>
    <row r="233" spans="17:24" x14ac:dyDescent="0.2">
      <c r="Q233" s="18" t="s">
        <v>317</v>
      </c>
      <c r="R233" s="2">
        <v>45597</v>
      </c>
      <c r="S233" s="2">
        <v>48425</v>
      </c>
      <c r="T233" s="2">
        <v>48428</v>
      </c>
      <c r="U233" s="37" t="s">
        <v>422</v>
      </c>
      <c r="V233" s="2">
        <f t="shared" si="25"/>
        <v>48425</v>
      </c>
      <c r="W233" t="str">
        <f t="shared" si="26"/>
        <v>BZ</v>
      </c>
      <c r="X233" s="35" t="str">
        <f t="shared" si="24"/>
        <v>NYMEX</v>
      </c>
    </row>
    <row r="234" spans="17:24" x14ac:dyDescent="0.2">
      <c r="Q234" s="18" t="s">
        <v>318</v>
      </c>
      <c r="R234" s="2">
        <v>45597</v>
      </c>
      <c r="S234" s="2">
        <v>48457</v>
      </c>
      <c r="T234" s="2">
        <v>48458</v>
      </c>
      <c r="U234" s="37" t="s">
        <v>422</v>
      </c>
      <c r="V234" s="2">
        <f t="shared" si="25"/>
        <v>48457</v>
      </c>
      <c r="W234" t="str">
        <f t="shared" si="26"/>
        <v>BZ</v>
      </c>
      <c r="X234" s="35" t="str">
        <f t="shared" si="24"/>
        <v>NYMEX</v>
      </c>
    </row>
    <row r="235" spans="17:24" x14ac:dyDescent="0.2">
      <c r="Q235" s="18" t="s">
        <v>319</v>
      </c>
      <c r="R235" s="2">
        <v>45597</v>
      </c>
      <c r="S235" s="2">
        <v>48487</v>
      </c>
      <c r="T235" s="2">
        <v>48488</v>
      </c>
      <c r="U235" s="37" t="s">
        <v>422</v>
      </c>
      <c r="V235" s="2">
        <f t="shared" si="25"/>
        <v>48487</v>
      </c>
      <c r="W235" t="str">
        <f t="shared" si="26"/>
        <v>BZ</v>
      </c>
      <c r="X235" s="35" t="str">
        <f t="shared" si="24"/>
        <v>NYMEX</v>
      </c>
    </row>
    <row r="236" spans="17:24" x14ac:dyDescent="0.2">
      <c r="Q236" s="18" t="s">
        <v>320</v>
      </c>
      <c r="R236" s="2">
        <v>45597</v>
      </c>
      <c r="S236" s="2">
        <v>48516</v>
      </c>
      <c r="T236" s="2">
        <v>48519</v>
      </c>
      <c r="U236" s="37" t="s">
        <v>422</v>
      </c>
      <c r="V236" s="2">
        <f t="shared" si="25"/>
        <v>48516</v>
      </c>
      <c r="W236" t="str">
        <f t="shared" si="26"/>
        <v>BZ</v>
      </c>
      <c r="X236" s="35" t="str">
        <f t="shared" si="24"/>
        <v>NYMEX</v>
      </c>
    </row>
    <row r="237" spans="17:24" x14ac:dyDescent="0.2">
      <c r="Q237" s="18" t="s">
        <v>321</v>
      </c>
      <c r="R237" s="2">
        <v>45597</v>
      </c>
      <c r="S237" s="2">
        <v>48548</v>
      </c>
      <c r="T237" s="2">
        <v>48549</v>
      </c>
      <c r="U237" s="37" t="s">
        <v>422</v>
      </c>
      <c r="V237" s="2">
        <f t="shared" si="25"/>
        <v>48548</v>
      </c>
      <c r="W237" t="str">
        <f t="shared" si="26"/>
        <v>BZ</v>
      </c>
      <c r="X237" s="35" t="str">
        <f t="shared" si="24"/>
        <v>NYMEX</v>
      </c>
    </row>
    <row r="238" spans="17:24" x14ac:dyDescent="0.2">
      <c r="Q238" s="18" t="s">
        <v>322</v>
      </c>
      <c r="R238" s="2">
        <v>45597</v>
      </c>
      <c r="S238" s="2">
        <v>48578</v>
      </c>
      <c r="T238" s="2">
        <v>48579</v>
      </c>
      <c r="U238" s="37" t="s">
        <v>422</v>
      </c>
      <c r="V238" s="2">
        <f t="shared" si="25"/>
        <v>48578</v>
      </c>
      <c r="W238" t="str">
        <f t="shared" si="26"/>
        <v>BZ</v>
      </c>
      <c r="X238" s="35" t="str">
        <f t="shared" si="24"/>
        <v>NYMEX</v>
      </c>
    </row>
    <row r="239" spans="17:24" x14ac:dyDescent="0.2">
      <c r="Q239" s="18" t="s">
        <v>323</v>
      </c>
      <c r="R239" s="2">
        <v>45597</v>
      </c>
      <c r="S239" s="2">
        <v>48610</v>
      </c>
      <c r="T239" s="2">
        <v>48611</v>
      </c>
      <c r="U239" s="37" t="s">
        <v>422</v>
      </c>
      <c r="V239" s="2">
        <f t="shared" si="25"/>
        <v>48610</v>
      </c>
      <c r="W239" t="str">
        <f t="shared" si="26"/>
        <v>BZ</v>
      </c>
      <c r="X239" s="35" t="str">
        <f t="shared" si="24"/>
        <v>NYMEX</v>
      </c>
    </row>
    <row r="240" spans="17:24" x14ac:dyDescent="0.2">
      <c r="Q240" s="18" t="s">
        <v>324</v>
      </c>
      <c r="R240" s="2">
        <v>45964</v>
      </c>
      <c r="S240" s="2">
        <v>48638</v>
      </c>
      <c r="T240" s="2">
        <v>48639</v>
      </c>
      <c r="U240" s="37" t="s">
        <v>422</v>
      </c>
      <c r="V240" s="2">
        <f t="shared" si="25"/>
        <v>48638</v>
      </c>
      <c r="W240" t="str">
        <f t="shared" si="26"/>
        <v>BZ</v>
      </c>
      <c r="X240" s="35" t="str">
        <f t="shared" si="24"/>
        <v>NYMEX</v>
      </c>
    </row>
    <row r="241" spans="7:24" x14ac:dyDescent="0.2">
      <c r="Q241" s="18" t="s">
        <v>325</v>
      </c>
      <c r="R241" s="2">
        <v>45964</v>
      </c>
      <c r="S241" s="2">
        <v>48669</v>
      </c>
      <c r="T241" s="2">
        <v>48670</v>
      </c>
      <c r="U241" s="37" t="s">
        <v>422</v>
      </c>
      <c r="V241" s="2">
        <f t="shared" si="25"/>
        <v>48669</v>
      </c>
      <c r="W241" t="str">
        <f t="shared" si="26"/>
        <v>BZ</v>
      </c>
      <c r="X241" s="35" t="str">
        <f t="shared" si="24"/>
        <v>NYMEX</v>
      </c>
    </row>
    <row r="242" spans="7:24" x14ac:dyDescent="0.2">
      <c r="Q242" s="18" t="s">
        <v>326</v>
      </c>
      <c r="R242" s="2">
        <v>45964</v>
      </c>
      <c r="S242" s="2">
        <v>48698</v>
      </c>
      <c r="T242" s="2">
        <v>48701</v>
      </c>
      <c r="U242" s="37" t="s">
        <v>422</v>
      </c>
      <c r="V242" s="2">
        <f t="shared" si="25"/>
        <v>48698</v>
      </c>
      <c r="W242" t="str">
        <f t="shared" si="26"/>
        <v>BZ</v>
      </c>
      <c r="X242" s="35" t="str">
        <f t="shared" si="24"/>
        <v>NYMEX</v>
      </c>
    </row>
    <row r="243" spans="7:24" x14ac:dyDescent="0.2">
      <c r="Q243" s="18" t="s">
        <v>327</v>
      </c>
      <c r="R243" s="2">
        <v>45964</v>
      </c>
      <c r="S243" s="2">
        <v>48730</v>
      </c>
      <c r="T243" s="2">
        <v>48731</v>
      </c>
      <c r="U243" s="37" t="s">
        <v>422</v>
      </c>
      <c r="V243" s="2">
        <f t="shared" si="25"/>
        <v>48730</v>
      </c>
      <c r="W243" t="str">
        <f t="shared" si="26"/>
        <v>BZ</v>
      </c>
      <c r="X243" s="35" t="str">
        <f t="shared" si="24"/>
        <v>NYMEX</v>
      </c>
    </row>
    <row r="244" spans="7:24" x14ac:dyDescent="0.2">
      <c r="Q244" s="18" t="s">
        <v>328</v>
      </c>
      <c r="R244" s="2">
        <v>45964</v>
      </c>
      <c r="S244" s="2">
        <v>48760</v>
      </c>
      <c r="T244" s="2">
        <v>48761</v>
      </c>
      <c r="U244" s="37" t="s">
        <v>422</v>
      </c>
      <c r="V244" s="2">
        <f t="shared" si="25"/>
        <v>48760</v>
      </c>
      <c r="W244" t="str">
        <f t="shared" si="26"/>
        <v>BZ</v>
      </c>
      <c r="X244" s="35" t="str">
        <f t="shared" si="24"/>
        <v>NYMEX</v>
      </c>
    </row>
    <row r="245" spans="7:24" x14ac:dyDescent="0.2">
      <c r="Q245" s="18" t="s">
        <v>329</v>
      </c>
      <c r="R245" s="2">
        <v>45964</v>
      </c>
      <c r="S245" s="2">
        <v>48789</v>
      </c>
      <c r="T245" s="2">
        <v>48792</v>
      </c>
      <c r="U245" s="37" t="s">
        <v>422</v>
      </c>
      <c r="V245" s="2">
        <f t="shared" si="25"/>
        <v>48789</v>
      </c>
      <c r="W245" t="str">
        <f t="shared" si="26"/>
        <v>BZ</v>
      </c>
      <c r="X245" s="35" t="str">
        <f t="shared" si="24"/>
        <v>NYMEX</v>
      </c>
    </row>
    <row r="246" spans="7:24" x14ac:dyDescent="0.2">
      <c r="Q246" s="18" t="s">
        <v>330</v>
      </c>
      <c r="R246" s="2">
        <v>45964</v>
      </c>
      <c r="S246" s="2">
        <v>48822</v>
      </c>
      <c r="T246" s="2">
        <v>48823</v>
      </c>
      <c r="U246" s="37" t="s">
        <v>422</v>
      </c>
      <c r="V246" s="2">
        <f t="shared" si="25"/>
        <v>48822</v>
      </c>
      <c r="W246" t="str">
        <f t="shared" si="26"/>
        <v>BZ</v>
      </c>
      <c r="X246" s="35" t="str">
        <f t="shared" si="24"/>
        <v>NYMEX</v>
      </c>
    </row>
    <row r="247" spans="7:24" x14ac:dyDescent="0.2">
      <c r="Q247" s="18" t="s">
        <v>331</v>
      </c>
      <c r="R247" s="2">
        <v>45964</v>
      </c>
      <c r="S247" s="2">
        <v>48852</v>
      </c>
      <c r="T247" s="2">
        <v>48855</v>
      </c>
      <c r="U247" s="37" t="s">
        <v>422</v>
      </c>
      <c r="V247" s="2">
        <f t="shared" si="25"/>
        <v>48852</v>
      </c>
      <c r="W247" t="str">
        <f t="shared" si="26"/>
        <v>BZ</v>
      </c>
      <c r="X247" s="35" t="str">
        <f t="shared" si="24"/>
        <v>NYMEX</v>
      </c>
    </row>
    <row r="248" spans="7:24" x14ac:dyDescent="0.2">
      <c r="Q248" s="18" t="s">
        <v>332</v>
      </c>
      <c r="R248" s="2">
        <v>45964</v>
      </c>
      <c r="S248" s="2">
        <v>48883</v>
      </c>
      <c r="T248" s="2">
        <v>48884</v>
      </c>
      <c r="U248" s="37" t="s">
        <v>422</v>
      </c>
      <c r="V248" s="2">
        <f t="shared" si="25"/>
        <v>48883</v>
      </c>
      <c r="W248" t="str">
        <f t="shared" si="26"/>
        <v>BZ</v>
      </c>
      <c r="X248" s="35" t="str">
        <f t="shared" si="24"/>
        <v>NYMEX</v>
      </c>
    </row>
    <row r="249" spans="7:24" x14ac:dyDescent="0.2">
      <c r="Q249" s="18" t="s">
        <v>333</v>
      </c>
      <c r="R249" s="2">
        <v>45964</v>
      </c>
      <c r="S249" s="2">
        <v>48913</v>
      </c>
      <c r="T249" s="2">
        <v>48914</v>
      </c>
      <c r="U249" s="37" t="s">
        <v>422</v>
      </c>
      <c r="V249" s="2">
        <f t="shared" si="25"/>
        <v>48913</v>
      </c>
      <c r="W249" t="str">
        <f t="shared" si="26"/>
        <v>BZ</v>
      </c>
      <c r="X249" s="35" t="str">
        <f t="shared" si="24"/>
        <v>NYMEX</v>
      </c>
    </row>
    <row r="250" spans="7:24" x14ac:dyDescent="0.2">
      <c r="Q250" s="18" t="s">
        <v>334</v>
      </c>
      <c r="R250" s="2">
        <v>45964</v>
      </c>
      <c r="S250" s="2">
        <v>48942</v>
      </c>
      <c r="T250" s="2">
        <v>48943</v>
      </c>
      <c r="U250" s="37" t="s">
        <v>422</v>
      </c>
      <c r="V250" s="2">
        <f t="shared" si="25"/>
        <v>48942</v>
      </c>
      <c r="W250" t="str">
        <f t="shared" si="26"/>
        <v>BZ</v>
      </c>
      <c r="X250" s="35" t="str">
        <f t="shared" si="24"/>
        <v>NYMEX</v>
      </c>
    </row>
    <row r="251" spans="7:24" x14ac:dyDescent="0.2">
      <c r="Q251" s="18" t="s">
        <v>335</v>
      </c>
      <c r="R251" s="2">
        <v>45964</v>
      </c>
      <c r="S251" s="2">
        <v>48975</v>
      </c>
      <c r="T251" s="2">
        <v>48976</v>
      </c>
      <c r="U251" s="37" t="s">
        <v>422</v>
      </c>
      <c r="V251" s="2">
        <f t="shared" si="25"/>
        <v>48975</v>
      </c>
      <c r="W251" t="str">
        <f t="shared" si="26"/>
        <v>BZ</v>
      </c>
      <c r="X251" s="35" t="str">
        <f t="shared" si="24"/>
        <v>NYMEX</v>
      </c>
    </row>
    <row r="252" spans="7:24" x14ac:dyDescent="0.2">
      <c r="G252" s="24"/>
      <c r="H252" s="11"/>
      <c r="I252" s="25"/>
      <c r="J252" s="11"/>
      <c r="K252" s="24"/>
      <c r="L252" s="11"/>
      <c r="M252" s="11"/>
      <c r="N252" s="20"/>
      <c r="Q252" s="18" t="s">
        <v>82</v>
      </c>
      <c r="R252" s="1" t="s">
        <v>83</v>
      </c>
      <c r="S252" s="1" t="s">
        <v>84</v>
      </c>
      <c r="T252" s="1" t="s">
        <v>85</v>
      </c>
      <c r="U252" s="23" t="s">
        <v>86</v>
      </c>
      <c r="V252" s="2">
        <f t="shared" si="25"/>
        <v>0</v>
      </c>
      <c r="W252" t="str">
        <f t="shared" si="26"/>
        <v>Product C</v>
      </c>
      <c r="X252" s="35" t="str">
        <f t="shared" si="24"/>
        <v>---</v>
      </c>
    </row>
    <row r="253" spans="7:24" x14ac:dyDescent="0.2">
      <c r="Q253" s="18" t="s">
        <v>341</v>
      </c>
      <c r="R253" s="2">
        <v>45698</v>
      </c>
      <c r="S253" s="2">
        <v>46108</v>
      </c>
      <c r="T253" s="2">
        <v>46108</v>
      </c>
      <c r="U253" s="22">
        <v>46080</v>
      </c>
      <c r="V253" s="2">
        <f t="shared" si="25"/>
        <v>46080</v>
      </c>
      <c r="W253" t="str">
        <f t="shared" si="26"/>
        <v>GC</v>
      </c>
      <c r="X253" s="35" t="str">
        <f t="shared" si="24"/>
        <v>COMEX</v>
      </c>
    </row>
    <row r="254" spans="7:24" x14ac:dyDescent="0.2">
      <c r="Q254" s="18" t="s">
        <v>342</v>
      </c>
      <c r="R254" s="2">
        <v>45443</v>
      </c>
      <c r="S254" s="2">
        <v>46140</v>
      </c>
      <c r="T254" s="2">
        <v>46140</v>
      </c>
      <c r="U254" s="22">
        <v>46112</v>
      </c>
      <c r="V254" s="2">
        <f t="shared" si="25"/>
        <v>46112</v>
      </c>
      <c r="W254" t="str">
        <f t="shared" si="26"/>
        <v>GC</v>
      </c>
      <c r="X254" s="35" t="str">
        <f t="shared" si="24"/>
        <v>COMEX</v>
      </c>
    </row>
    <row r="255" spans="7:24" x14ac:dyDescent="0.2">
      <c r="Q255" s="18" t="s">
        <v>343</v>
      </c>
      <c r="R255" s="2">
        <v>45698</v>
      </c>
      <c r="S255" s="2">
        <v>46169</v>
      </c>
      <c r="T255" s="2">
        <v>46169</v>
      </c>
      <c r="U255" s="22">
        <v>46142</v>
      </c>
      <c r="V255" s="2">
        <f t="shared" si="25"/>
        <v>46142</v>
      </c>
      <c r="W255" t="str">
        <f t="shared" si="26"/>
        <v>GC</v>
      </c>
      <c r="X255" s="35" t="str">
        <f t="shared" si="24"/>
        <v>COMEX</v>
      </c>
    </row>
    <row r="256" spans="7:24" x14ac:dyDescent="0.2">
      <c r="Q256" s="18" t="s">
        <v>344</v>
      </c>
      <c r="R256" s="2">
        <v>44012</v>
      </c>
      <c r="S256" s="2">
        <v>46199</v>
      </c>
      <c r="T256" s="2">
        <v>46199</v>
      </c>
      <c r="U256" s="22">
        <v>46171</v>
      </c>
      <c r="V256" s="2">
        <f t="shared" si="25"/>
        <v>46171</v>
      </c>
      <c r="W256" t="str">
        <f t="shared" si="26"/>
        <v>GC</v>
      </c>
      <c r="X256" s="35" t="str">
        <f t="shared" si="24"/>
        <v>COMEX</v>
      </c>
    </row>
    <row r="257" spans="17:24" x14ac:dyDescent="0.2">
      <c r="Q257" s="18" t="s">
        <v>345</v>
      </c>
      <c r="R257" s="2">
        <v>45698</v>
      </c>
      <c r="S257" s="2">
        <v>46232</v>
      </c>
      <c r="T257" s="2">
        <v>46232</v>
      </c>
      <c r="U257" s="22">
        <v>46203</v>
      </c>
      <c r="V257" s="2">
        <f t="shared" si="25"/>
        <v>46203</v>
      </c>
      <c r="W257" t="str">
        <f t="shared" si="26"/>
        <v>GC</v>
      </c>
      <c r="X257" s="35" t="str">
        <f t="shared" si="24"/>
        <v>COMEX</v>
      </c>
    </row>
    <row r="258" spans="17:24" x14ac:dyDescent="0.2">
      <c r="Q258" s="18" t="s">
        <v>346</v>
      </c>
      <c r="R258" s="2">
        <v>45565</v>
      </c>
      <c r="S258" s="2">
        <v>46261</v>
      </c>
      <c r="T258" s="2">
        <v>46261</v>
      </c>
      <c r="U258" s="22">
        <v>46234</v>
      </c>
      <c r="V258" s="2">
        <f t="shared" si="25"/>
        <v>46234</v>
      </c>
      <c r="W258" t="str">
        <f t="shared" si="26"/>
        <v>GC</v>
      </c>
      <c r="X258" s="35" t="str">
        <f t="shared" si="24"/>
        <v>COMEX</v>
      </c>
    </row>
    <row r="259" spans="17:24" x14ac:dyDescent="0.2">
      <c r="Q259" s="18" t="s">
        <v>347</v>
      </c>
      <c r="R259" s="2">
        <v>45698</v>
      </c>
      <c r="S259" s="2">
        <v>46293</v>
      </c>
      <c r="T259" s="2">
        <v>46293</v>
      </c>
      <c r="U259" s="22">
        <v>46265</v>
      </c>
      <c r="V259" s="2">
        <f t="shared" si="25"/>
        <v>46265</v>
      </c>
      <c r="W259" t="str">
        <f t="shared" si="26"/>
        <v>GC</v>
      </c>
      <c r="X259" s="35" t="str">
        <f t="shared" ref="X259:X322" si="27">IFERROR(INDEX(AD:AD, MATCH(W259,AC:AC,0)),"---")</f>
        <v>COMEX</v>
      </c>
    </row>
    <row r="260" spans="17:24" x14ac:dyDescent="0.2">
      <c r="Q260" s="18" t="s">
        <v>348</v>
      </c>
      <c r="R260" s="2">
        <v>45625</v>
      </c>
      <c r="S260" s="2">
        <v>46323</v>
      </c>
      <c r="T260" s="2">
        <v>46323</v>
      </c>
      <c r="U260" s="22">
        <v>46295</v>
      </c>
      <c r="V260" s="2">
        <f t="shared" ref="V260:V323" si="28">MIN(S260:U260)</f>
        <v>46295</v>
      </c>
      <c r="W260" t="str">
        <f t="shared" ref="W260:W323" si="29">MID(Q260,1,LEN(Q260)-3)</f>
        <v>GC</v>
      </c>
      <c r="X260" s="35" t="str">
        <f t="shared" si="27"/>
        <v>COMEX</v>
      </c>
    </row>
    <row r="261" spans="17:24" x14ac:dyDescent="0.2">
      <c r="Q261" s="18" t="s">
        <v>349</v>
      </c>
      <c r="R261" s="2">
        <v>45698</v>
      </c>
      <c r="S261" s="2">
        <v>46351</v>
      </c>
      <c r="T261" s="2">
        <v>46351</v>
      </c>
      <c r="U261" s="22">
        <v>46325</v>
      </c>
      <c r="V261" s="2">
        <f t="shared" si="28"/>
        <v>46325</v>
      </c>
      <c r="W261" t="str">
        <f t="shared" si="29"/>
        <v>GC</v>
      </c>
      <c r="X261" s="35" t="str">
        <f t="shared" si="27"/>
        <v>COMEX</v>
      </c>
    </row>
    <row r="262" spans="17:24" x14ac:dyDescent="0.2">
      <c r="Q262" s="18" t="s">
        <v>350</v>
      </c>
      <c r="R262" s="2">
        <v>44196</v>
      </c>
      <c r="S262" s="2">
        <v>46385</v>
      </c>
      <c r="T262" s="2">
        <v>46385</v>
      </c>
      <c r="U262" s="22">
        <v>46356</v>
      </c>
      <c r="V262" s="2">
        <f t="shared" si="28"/>
        <v>46356</v>
      </c>
      <c r="W262" t="str">
        <f t="shared" si="29"/>
        <v>GC</v>
      </c>
      <c r="X262" s="35" t="str">
        <f t="shared" si="27"/>
        <v>COMEX</v>
      </c>
    </row>
    <row r="263" spans="17:24" x14ac:dyDescent="0.2">
      <c r="Q263" s="18" t="s">
        <v>351</v>
      </c>
      <c r="R263" s="2">
        <v>45698</v>
      </c>
      <c r="S263" s="2">
        <v>46414</v>
      </c>
      <c r="T263" s="2">
        <v>46414</v>
      </c>
      <c r="U263" s="22">
        <v>46387</v>
      </c>
      <c r="V263" s="2">
        <f t="shared" si="28"/>
        <v>46387</v>
      </c>
      <c r="W263" t="str">
        <f t="shared" si="29"/>
        <v>GC</v>
      </c>
      <c r="X263" s="35" t="str">
        <f t="shared" si="27"/>
        <v>COMEX</v>
      </c>
    </row>
    <row r="264" spans="17:24" x14ac:dyDescent="0.2">
      <c r="Q264" s="18" t="s">
        <v>352</v>
      </c>
      <c r="R264" s="2">
        <v>45716</v>
      </c>
      <c r="S264" s="2">
        <v>46442</v>
      </c>
      <c r="T264" s="2">
        <v>46442</v>
      </c>
      <c r="U264" s="22">
        <v>46416</v>
      </c>
      <c r="V264" s="2">
        <f t="shared" si="28"/>
        <v>46416</v>
      </c>
      <c r="W264" t="str">
        <f t="shared" si="29"/>
        <v>GC</v>
      </c>
      <c r="X264" s="35" t="str">
        <f t="shared" si="27"/>
        <v>COMEX</v>
      </c>
    </row>
    <row r="265" spans="17:24" x14ac:dyDescent="0.2">
      <c r="Q265" s="18" t="s">
        <v>353</v>
      </c>
      <c r="R265" s="2">
        <v>45744</v>
      </c>
      <c r="S265" s="2">
        <v>46475</v>
      </c>
      <c r="T265" s="2">
        <v>46475</v>
      </c>
      <c r="U265" s="22">
        <v>46444</v>
      </c>
      <c r="V265" s="2">
        <f t="shared" si="28"/>
        <v>46444</v>
      </c>
      <c r="W265" t="str">
        <f t="shared" si="29"/>
        <v>GC</v>
      </c>
      <c r="X265" s="35" t="str">
        <f t="shared" si="27"/>
        <v>COMEX</v>
      </c>
    </row>
    <row r="266" spans="17:24" x14ac:dyDescent="0.2">
      <c r="Q266" s="18" t="s">
        <v>354</v>
      </c>
      <c r="R266" s="2">
        <v>45761</v>
      </c>
      <c r="S266" s="2">
        <v>46505</v>
      </c>
      <c r="T266" s="2">
        <v>46505</v>
      </c>
      <c r="U266" s="22">
        <v>46477</v>
      </c>
      <c r="V266" s="2">
        <f t="shared" si="28"/>
        <v>46477</v>
      </c>
      <c r="W266" t="str">
        <f t="shared" si="29"/>
        <v>GC</v>
      </c>
      <c r="X266" s="35" t="str">
        <f t="shared" si="27"/>
        <v>COMEX</v>
      </c>
    </row>
    <row r="267" spans="17:24" x14ac:dyDescent="0.2">
      <c r="Q267" s="18" t="s">
        <v>355</v>
      </c>
      <c r="R267" s="2">
        <v>45761</v>
      </c>
      <c r="S267" s="2">
        <v>46533</v>
      </c>
      <c r="T267" s="2">
        <v>46533</v>
      </c>
      <c r="U267" s="22">
        <v>46507</v>
      </c>
      <c r="V267" s="2">
        <f t="shared" si="28"/>
        <v>46507</v>
      </c>
      <c r="W267" t="str">
        <f t="shared" si="29"/>
        <v>GC</v>
      </c>
      <c r="X267" s="35" t="str">
        <f t="shared" si="27"/>
        <v>COMEX</v>
      </c>
    </row>
    <row r="268" spans="17:24" x14ac:dyDescent="0.2">
      <c r="Q268" s="18" t="s">
        <v>356</v>
      </c>
      <c r="R268" s="2">
        <v>44377</v>
      </c>
      <c r="S268" s="2">
        <v>46566</v>
      </c>
      <c r="T268" s="2">
        <v>46566</v>
      </c>
      <c r="U268" s="22">
        <v>46535</v>
      </c>
      <c r="V268" s="2">
        <f t="shared" si="28"/>
        <v>46535</v>
      </c>
      <c r="W268" t="str">
        <f t="shared" si="29"/>
        <v>GC</v>
      </c>
      <c r="X268" s="35" t="str">
        <f t="shared" si="27"/>
        <v>COMEX</v>
      </c>
    </row>
    <row r="269" spans="17:24" x14ac:dyDescent="0.2">
      <c r="Q269" s="18" t="s">
        <v>357</v>
      </c>
      <c r="R269" s="2">
        <v>45806</v>
      </c>
      <c r="S269" s="2">
        <v>46596</v>
      </c>
      <c r="T269" s="2">
        <v>46596</v>
      </c>
      <c r="U269" s="22">
        <v>46568</v>
      </c>
      <c r="V269" s="2">
        <f t="shared" si="28"/>
        <v>46568</v>
      </c>
      <c r="W269" t="str">
        <f t="shared" si="29"/>
        <v>GC</v>
      </c>
      <c r="X269" s="35" t="str">
        <f t="shared" si="27"/>
        <v>COMEX</v>
      </c>
    </row>
    <row r="270" spans="17:24" x14ac:dyDescent="0.2">
      <c r="Q270" s="18" t="s">
        <v>358</v>
      </c>
      <c r="R270" s="2">
        <v>45835</v>
      </c>
      <c r="S270" s="2">
        <v>46626</v>
      </c>
      <c r="T270" s="2">
        <v>46626</v>
      </c>
      <c r="U270" s="22">
        <v>46598</v>
      </c>
      <c r="V270" s="2">
        <f t="shared" si="28"/>
        <v>46598</v>
      </c>
      <c r="W270" t="str">
        <f t="shared" si="29"/>
        <v>GC</v>
      </c>
      <c r="X270" s="35" t="str">
        <f t="shared" si="27"/>
        <v>COMEX</v>
      </c>
    </row>
    <row r="271" spans="17:24" x14ac:dyDescent="0.2">
      <c r="Q271" s="18" t="s">
        <v>359</v>
      </c>
      <c r="R271" s="2">
        <v>45868</v>
      </c>
      <c r="S271" s="2">
        <v>46658</v>
      </c>
      <c r="T271" s="2">
        <v>46658</v>
      </c>
      <c r="U271" s="22">
        <v>46630</v>
      </c>
      <c r="V271" s="2">
        <f t="shared" si="28"/>
        <v>46630</v>
      </c>
      <c r="W271" t="str">
        <f t="shared" si="29"/>
        <v>GC</v>
      </c>
      <c r="X271" s="35" t="str">
        <f t="shared" si="27"/>
        <v>COMEX</v>
      </c>
    </row>
    <row r="272" spans="17:24" x14ac:dyDescent="0.2">
      <c r="Q272" s="18" t="s">
        <v>360</v>
      </c>
      <c r="R272" s="2">
        <v>45897</v>
      </c>
      <c r="S272" s="2">
        <v>46687</v>
      </c>
      <c r="T272" s="2">
        <v>46687</v>
      </c>
      <c r="U272" s="22">
        <v>46660</v>
      </c>
      <c r="V272" s="2">
        <f t="shared" si="28"/>
        <v>46660</v>
      </c>
      <c r="W272" t="str">
        <f t="shared" si="29"/>
        <v>GC</v>
      </c>
      <c r="X272" s="35" t="str">
        <f t="shared" si="27"/>
        <v>COMEX</v>
      </c>
    </row>
    <row r="273" spans="17:24" x14ac:dyDescent="0.2">
      <c r="Q273" s="18" t="s">
        <v>361</v>
      </c>
      <c r="R273" s="2">
        <v>45929</v>
      </c>
      <c r="S273" s="2">
        <v>46717</v>
      </c>
      <c r="T273" s="2">
        <v>46717</v>
      </c>
      <c r="U273" s="22">
        <v>46689</v>
      </c>
      <c r="V273" s="2">
        <f t="shared" si="28"/>
        <v>46689</v>
      </c>
      <c r="W273" t="str">
        <f t="shared" si="29"/>
        <v>GC</v>
      </c>
      <c r="X273" s="35" t="str">
        <f t="shared" si="27"/>
        <v>COMEX</v>
      </c>
    </row>
    <row r="274" spans="17:24" x14ac:dyDescent="0.2">
      <c r="Q274" s="18" t="s">
        <v>362</v>
      </c>
      <c r="R274" s="2">
        <v>44561</v>
      </c>
      <c r="S274" s="2">
        <v>46750</v>
      </c>
      <c r="T274" s="2">
        <v>46750</v>
      </c>
      <c r="U274" s="22">
        <v>46721</v>
      </c>
      <c r="V274" s="2">
        <f t="shared" si="28"/>
        <v>46721</v>
      </c>
      <c r="W274" t="str">
        <f t="shared" si="29"/>
        <v>GC</v>
      </c>
      <c r="X274" s="35" t="str">
        <f t="shared" si="27"/>
        <v>COMEX</v>
      </c>
    </row>
    <row r="275" spans="17:24" x14ac:dyDescent="0.2">
      <c r="Q275" s="18" t="s">
        <v>363</v>
      </c>
      <c r="R275" s="2">
        <v>45987</v>
      </c>
      <c r="S275" s="2">
        <v>46779</v>
      </c>
      <c r="T275" s="2">
        <v>46779</v>
      </c>
      <c r="U275" s="22">
        <v>46752</v>
      </c>
      <c r="V275" s="2">
        <f t="shared" si="28"/>
        <v>46752</v>
      </c>
      <c r="W275" t="str">
        <f t="shared" si="29"/>
        <v>GC</v>
      </c>
      <c r="X275" s="35" t="str">
        <f t="shared" si="27"/>
        <v>COMEX</v>
      </c>
    </row>
    <row r="276" spans="17:24" x14ac:dyDescent="0.2">
      <c r="Q276" s="18" t="s">
        <v>364</v>
      </c>
      <c r="R276" s="2">
        <v>46021</v>
      </c>
      <c r="S276" s="2">
        <v>46808</v>
      </c>
      <c r="T276" s="2">
        <v>46808</v>
      </c>
      <c r="U276" s="22">
        <v>46783</v>
      </c>
      <c r="V276" s="2">
        <f t="shared" si="28"/>
        <v>46783</v>
      </c>
      <c r="W276" t="str">
        <f t="shared" si="29"/>
        <v>GC</v>
      </c>
      <c r="X276" s="35" t="str">
        <f t="shared" si="27"/>
        <v>COMEX</v>
      </c>
    </row>
    <row r="277" spans="17:24" x14ac:dyDescent="0.2">
      <c r="Q277" s="18" t="s">
        <v>365</v>
      </c>
      <c r="R277" s="2">
        <v>46051</v>
      </c>
      <c r="S277" s="2">
        <v>46841</v>
      </c>
      <c r="T277" s="2">
        <v>46841</v>
      </c>
      <c r="U277" s="22">
        <v>46812</v>
      </c>
      <c r="V277" s="2">
        <f t="shared" si="28"/>
        <v>46812</v>
      </c>
      <c r="W277" t="str">
        <f t="shared" si="29"/>
        <v>GC</v>
      </c>
      <c r="X277" s="35" t="str">
        <f t="shared" si="27"/>
        <v>COMEX</v>
      </c>
    </row>
    <row r="278" spans="17:24" x14ac:dyDescent="0.2">
      <c r="Q278" s="18" t="s">
        <v>366</v>
      </c>
      <c r="R278" s="2">
        <v>46079</v>
      </c>
      <c r="S278" s="2">
        <v>46869</v>
      </c>
      <c r="T278" s="2">
        <v>46869</v>
      </c>
      <c r="U278" s="22">
        <v>46843</v>
      </c>
      <c r="V278" s="2">
        <f t="shared" si="28"/>
        <v>46843</v>
      </c>
      <c r="W278" t="str">
        <f t="shared" si="29"/>
        <v>GC</v>
      </c>
      <c r="X278" s="35" t="str">
        <f t="shared" si="27"/>
        <v>COMEX</v>
      </c>
    </row>
    <row r="279" spans="17:24" x14ac:dyDescent="0.2">
      <c r="Q279" s="18" t="s">
        <v>367</v>
      </c>
      <c r="R279" s="2">
        <v>46111</v>
      </c>
      <c r="S279" s="2">
        <v>46899</v>
      </c>
      <c r="T279" s="2">
        <v>46899</v>
      </c>
      <c r="U279" s="22">
        <v>46871</v>
      </c>
      <c r="V279" s="2">
        <f t="shared" si="28"/>
        <v>46871</v>
      </c>
      <c r="W279" t="str">
        <f t="shared" si="29"/>
        <v>GC</v>
      </c>
      <c r="X279" s="35" t="str">
        <f t="shared" si="27"/>
        <v>COMEX</v>
      </c>
    </row>
    <row r="280" spans="17:24" x14ac:dyDescent="0.2">
      <c r="Q280" s="18" t="s">
        <v>368</v>
      </c>
      <c r="R280" s="2">
        <v>44742</v>
      </c>
      <c r="S280" s="2">
        <v>46932</v>
      </c>
      <c r="T280" s="2">
        <v>46932</v>
      </c>
      <c r="U280" s="22">
        <v>46904</v>
      </c>
      <c r="V280" s="2">
        <f t="shared" si="28"/>
        <v>46904</v>
      </c>
      <c r="W280" t="str">
        <f t="shared" si="29"/>
        <v>GC</v>
      </c>
      <c r="X280" s="35" t="str">
        <f t="shared" si="27"/>
        <v>COMEX</v>
      </c>
    </row>
    <row r="281" spans="17:24" x14ac:dyDescent="0.2">
      <c r="Q281" s="18" t="s">
        <v>369</v>
      </c>
      <c r="R281" s="2">
        <v>44925</v>
      </c>
      <c r="S281" s="2">
        <v>47114</v>
      </c>
      <c r="T281" s="2">
        <v>47114</v>
      </c>
      <c r="U281" s="22">
        <v>47087</v>
      </c>
      <c r="V281" s="2">
        <f t="shared" si="28"/>
        <v>47087</v>
      </c>
      <c r="W281" t="str">
        <f t="shared" si="29"/>
        <v>GC</v>
      </c>
      <c r="X281" s="35" t="str">
        <f t="shared" si="27"/>
        <v>COMEX</v>
      </c>
    </row>
    <row r="282" spans="17:24" x14ac:dyDescent="0.2">
      <c r="Q282" s="18" t="s">
        <v>370</v>
      </c>
      <c r="R282" s="2">
        <v>45107</v>
      </c>
      <c r="S282" s="2">
        <v>47296</v>
      </c>
      <c r="T282" s="2">
        <v>47296</v>
      </c>
      <c r="U282" s="22">
        <v>47269</v>
      </c>
      <c r="V282" s="2">
        <f t="shared" si="28"/>
        <v>47269</v>
      </c>
      <c r="W282" t="str">
        <f t="shared" si="29"/>
        <v>GC</v>
      </c>
      <c r="X282" s="35" t="str">
        <f t="shared" si="27"/>
        <v>COMEX</v>
      </c>
    </row>
    <row r="283" spans="17:24" x14ac:dyDescent="0.2">
      <c r="Q283" s="18" t="s">
        <v>371</v>
      </c>
      <c r="R283" s="2">
        <v>45289</v>
      </c>
      <c r="S283" s="2">
        <v>47479</v>
      </c>
      <c r="T283" s="2">
        <v>47479</v>
      </c>
      <c r="U283" s="22">
        <v>47452</v>
      </c>
      <c r="V283" s="2">
        <f t="shared" si="28"/>
        <v>47452</v>
      </c>
      <c r="W283" t="str">
        <f t="shared" si="29"/>
        <v>GC</v>
      </c>
      <c r="X283" s="35" t="str">
        <f t="shared" si="27"/>
        <v>COMEX</v>
      </c>
    </row>
    <row r="284" spans="17:24" x14ac:dyDescent="0.2">
      <c r="Q284" s="18" t="s">
        <v>372</v>
      </c>
      <c r="R284" s="2">
        <v>45471</v>
      </c>
      <c r="S284" s="2">
        <v>47660</v>
      </c>
      <c r="T284" s="2">
        <v>47660</v>
      </c>
      <c r="U284" s="22">
        <v>47634</v>
      </c>
      <c r="V284" s="2">
        <f t="shared" si="28"/>
        <v>47634</v>
      </c>
      <c r="W284" t="str">
        <f t="shared" si="29"/>
        <v>GC</v>
      </c>
      <c r="X284" s="35" t="str">
        <f t="shared" si="27"/>
        <v>COMEX</v>
      </c>
    </row>
    <row r="285" spans="17:24" x14ac:dyDescent="0.2">
      <c r="Q285" s="18" t="s">
        <v>373</v>
      </c>
      <c r="R285" s="2">
        <v>45657</v>
      </c>
      <c r="S285" s="2">
        <v>47844</v>
      </c>
      <c r="T285" s="2">
        <v>47844</v>
      </c>
      <c r="U285" s="22">
        <v>47816</v>
      </c>
      <c r="V285" s="2">
        <f t="shared" si="28"/>
        <v>47816</v>
      </c>
      <c r="W285" t="str">
        <f t="shared" si="29"/>
        <v>GC</v>
      </c>
      <c r="X285" s="35" t="str">
        <f t="shared" si="27"/>
        <v>COMEX</v>
      </c>
    </row>
    <row r="286" spans="17:24" x14ac:dyDescent="0.2">
      <c r="Q286" s="18" t="s">
        <v>374</v>
      </c>
      <c r="R286" s="2">
        <v>45810</v>
      </c>
      <c r="S286" s="2">
        <v>48025</v>
      </c>
      <c r="T286" s="2">
        <v>48025</v>
      </c>
      <c r="U286" s="22">
        <v>47998</v>
      </c>
      <c r="V286" s="2">
        <f t="shared" si="28"/>
        <v>47998</v>
      </c>
      <c r="W286" t="str">
        <f t="shared" si="29"/>
        <v>GC</v>
      </c>
      <c r="X286" s="35" t="str">
        <f t="shared" si="27"/>
        <v>COMEX</v>
      </c>
    </row>
    <row r="287" spans="17:24" x14ac:dyDescent="0.2">
      <c r="Q287" s="18" t="s">
        <v>375</v>
      </c>
      <c r="R287" s="2">
        <v>45992</v>
      </c>
      <c r="S287" s="2">
        <v>48211</v>
      </c>
      <c r="T287" s="2">
        <v>48211</v>
      </c>
      <c r="U287" s="22">
        <v>48180</v>
      </c>
      <c r="V287" s="2">
        <f t="shared" si="28"/>
        <v>48180</v>
      </c>
      <c r="W287" t="str">
        <f t="shared" si="29"/>
        <v>GC</v>
      </c>
      <c r="X287" s="35" t="str">
        <f t="shared" si="27"/>
        <v>COMEX</v>
      </c>
    </row>
    <row r="288" spans="17:24" x14ac:dyDescent="0.2">
      <c r="Q288" s="18" t="s">
        <v>82</v>
      </c>
      <c r="R288" s="1" t="s">
        <v>83</v>
      </c>
      <c r="S288" s="1" t="s">
        <v>84</v>
      </c>
      <c r="T288" s="1" t="s">
        <v>85</v>
      </c>
      <c r="U288" s="23" t="s">
        <v>86</v>
      </c>
      <c r="V288" s="2">
        <f t="shared" si="28"/>
        <v>0</v>
      </c>
      <c r="W288" t="str">
        <f t="shared" si="29"/>
        <v>Product C</v>
      </c>
      <c r="X288" s="35" t="str">
        <f t="shared" si="27"/>
        <v>---</v>
      </c>
    </row>
    <row r="289" spans="17:24" x14ac:dyDescent="0.2">
      <c r="Q289" s="18" t="s">
        <v>376</v>
      </c>
      <c r="R289" s="2">
        <v>45443</v>
      </c>
      <c r="S289" s="2">
        <v>46140</v>
      </c>
      <c r="T289" s="2">
        <v>46140</v>
      </c>
      <c r="U289" s="22">
        <v>46112</v>
      </c>
      <c r="V289" s="2">
        <f t="shared" si="28"/>
        <v>46112</v>
      </c>
      <c r="W289" t="str">
        <f t="shared" si="29"/>
        <v>MGC</v>
      </c>
      <c r="X289" s="35" t="str">
        <f t="shared" si="27"/>
        <v>COMEX_MINI</v>
      </c>
    </row>
    <row r="290" spans="17:24" x14ac:dyDescent="0.2">
      <c r="Q290" s="18" t="s">
        <v>377</v>
      </c>
      <c r="R290" s="2">
        <v>45471</v>
      </c>
      <c r="S290" s="2">
        <v>46199</v>
      </c>
      <c r="T290" s="2">
        <v>46199</v>
      </c>
      <c r="U290" s="22">
        <v>46171</v>
      </c>
      <c r="V290" s="2">
        <f t="shared" si="28"/>
        <v>46171</v>
      </c>
      <c r="W290" t="str">
        <f t="shared" si="29"/>
        <v>MGC</v>
      </c>
      <c r="X290" s="35" t="str">
        <f t="shared" si="27"/>
        <v>COMEX_MINI</v>
      </c>
    </row>
    <row r="291" spans="17:24" x14ac:dyDescent="0.2">
      <c r="Q291" s="18" t="s">
        <v>378</v>
      </c>
      <c r="R291" s="2">
        <v>45565</v>
      </c>
      <c r="S291" s="2">
        <v>46261</v>
      </c>
      <c r="T291" s="2">
        <v>46261</v>
      </c>
      <c r="U291" s="22">
        <v>46234</v>
      </c>
      <c r="V291" s="2">
        <f t="shared" si="28"/>
        <v>46234</v>
      </c>
      <c r="W291" t="str">
        <f t="shared" si="29"/>
        <v>MGC</v>
      </c>
      <c r="X291" s="35" t="str">
        <f t="shared" si="27"/>
        <v>COMEX_MINI</v>
      </c>
    </row>
    <row r="292" spans="17:24" x14ac:dyDescent="0.2">
      <c r="Q292" s="18" t="s">
        <v>379</v>
      </c>
      <c r="R292" s="2">
        <v>45625</v>
      </c>
      <c r="S292" s="2">
        <v>46323</v>
      </c>
      <c r="T292" s="2">
        <v>46323</v>
      </c>
      <c r="U292" s="22">
        <v>46295</v>
      </c>
      <c r="V292" s="2">
        <f t="shared" si="28"/>
        <v>46295</v>
      </c>
      <c r="W292" t="str">
        <f t="shared" si="29"/>
        <v>MGC</v>
      </c>
      <c r="X292" s="35" t="str">
        <f t="shared" si="27"/>
        <v>COMEX_MINI</v>
      </c>
    </row>
    <row r="293" spans="17:24" x14ac:dyDescent="0.2">
      <c r="Q293" s="18" t="s">
        <v>380</v>
      </c>
      <c r="R293" s="2">
        <v>45657</v>
      </c>
      <c r="S293" s="2">
        <v>46385</v>
      </c>
      <c r="T293" s="2">
        <v>46385</v>
      </c>
      <c r="U293" s="22">
        <v>46356</v>
      </c>
      <c r="V293" s="2">
        <f t="shared" si="28"/>
        <v>46356</v>
      </c>
      <c r="W293" t="str">
        <f t="shared" si="29"/>
        <v>MGC</v>
      </c>
      <c r="X293" s="35" t="str">
        <f t="shared" si="27"/>
        <v>COMEX_MINI</v>
      </c>
    </row>
    <row r="294" spans="17:24" x14ac:dyDescent="0.2">
      <c r="Q294" s="18" t="s">
        <v>381</v>
      </c>
      <c r="R294" s="2">
        <v>45747</v>
      </c>
      <c r="S294" s="2">
        <v>46442</v>
      </c>
      <c r="T294" s="2">
        <v>46442</v>
      </c>
      <c r="U294" s="22">
        <v>46416</v>
      </c>
      <c r="V294" s="2">
        <f t="shared" si="28"/>
        <v>46416</v>
      </c>
      <c r="W294" t="str">
        <f t="shared" si="29"/>
        <v>MGC</v>
      </c>
      <c r="X294" s="35" t="str">
        <f t="shared" si="27"/>
        <v>COMEX_MINI</v>
      </c>
    </row>
    <row r="295" spans="17:24" x14ac:dyDescent="0.2">
      <c r="Q295" s="18" t="s">
        <v>382</v>
      </c>
      <c r="R295" s="2">
        <v>45807</v>
      </c>
      <c r="S295" s="2">
        <v>46505</v>
      </c>
      <c r="T295" s="2">
        <v>46505</v>
      </c>
      <c r="U295" s="22">
        <v>46477</v>
      </c>
      <c r="V295" s="2">
        <f t="shared" si="28"/>
        <v>46477</v>
      </c>
      <c r="W295" t="str">
        <f t="shared" si="29"/>
        <v>MGC</v>
      </c>
      <c r="X295" s="35" t="str">
        <f t="shared" si="27"/>
        <v>COMEX_MINI</v>
      </c>
    </row>
    <row r="296" spans="17:24" x14ac:dyDescent="0.2">
      <c r="Q296" s="18" t="s">
        <v>383</v>
      </c>
      <c r="R296" s="2">
        <v>45838</v>
      </c>
      <c r="S296" s="2">
        <v>46566</v>
      </c>
      <c r="T296" s="2">
        <v>46566</v>
      </c>
      <c r="U296" s="22">
        <v>46535</v>
      </c>
      <c r="V296" s="2">
        <f t="shared" si="28"/>
        <v>46535</v>
      </c>
      <c r="W296" t="str">
        <f t="shared" si="29"/>
        <v>MGC</v>
      </c>
      <c r="X296" s="35" t="str">
        <f t="shared" si="27"/>
        <v>COMEX_MINI</v>
      </c>
    </row>
    <row r="297" spans="17:24" x14ac:dyDescent="0.2">
      <c r="Q297" s="18" t="s">
        <v>384</v>
      </c>
      <c r="R297" s="2">
        <v>45930</v>
      </c>
      <c r="S297" s="2">
        <v>46626</v>
      </c>
      <c r="T297" s="2">
        <v>46626</v>
      </c>
      <c r="U297" s="22">
        <v>46598</v>
      </c>
      <c r="V297" s="2">
        <f t="shared" si="28"/>
        <v>46598</v>
      </c>
      <c r="W297" t="str">
        <f t="shared" si="29"/>
        <v>MGC</v>
      </c>
      <c r="X297" s="35" t="str">
        <f t="shared" si="27"/>
        <v>COMEX_MINI</v>
      </c>
    </row>
    <row r="298" spans="17:24" x14ac:dyDescent="0.2">
      <c r="Q298" s="18" t="s">
        <v>385</v>
      </c>
      <c r="R298" s="2">
        <v>45989</v>
      </c>
      <c r="S298" s="2">
        <v>46687</v>
      </c>
      <c r="T298" s="2">
        <v>46687</v>
      </c>
      <c r="U298" s="22">
        <v>46660</v>
      </c>
      <c r="V298" s="2">
        <f t="shared" si="28"/>
        <v>46660</v>
      </c>
      <c r="W298" t="str">
        <f t="shared" si="29"/>
        <v>MGC</v>
      </c>
      <c r="X298" s="35" t="str">
        <f t="shared" si="27"/>
        <v>COMEX_MINI</v>
      </c>
    </row>
    <row r="299" spans="17:24" x14ac:dyDescent="0.2">
      <c r="Q299" s="18" t="s">
        <v>386</v>
      </c>
      <c r="R299" s="2">
        <v>46022</v>
      </c>
      <c r="S299" s="2">
        <v>46750</v>
      </c>
      <c r="T299" s="2">
        <v>46750</v>
      </c>
      <c r="U299" s="22">
        <v>46721</v>
      </c>
      <c r="V299" s="2">
        <f t="shared" si="28"/>
        <v>46721</v>
      </c>
      <c r="W299" t="str">
        <f t="shared" si="29"/>
        <v>MGC</v>
      </c>
      <c r="X299" s="35" t="str">
        <f t="shared" si="27"/>
        <v>COMEX_MINI</v>
      </c>
    </row>
    <row r="300" spans="17:24" x14ac:dyDescent="0.2">
      <c r="Q300" s="18" t="s">
        <v>387</v>
      </c>
      <c r="R300" s="2">
        <v>46112</v>
      </c>
      <c r="S300" s="2">
        <v>46808</v>
      </c>
      <c r="T300" s="2">
        <v>46808</v>
      </c>
      <c r="U300" s="22">
        <v>46783</v>
      </c>
      <c r="V300" s="2">
        <f t="shared" si="28"/>
        <v>46783</v>
      </c>
      <c r="W300" t="str">
        <f t="shared" si="29"/>
        <v>MGC</v>
      </c>
      <c r="X300" s="35" t="str">
        <f t="shared" si="27"/>
        <v>COMEX_MINI</v>
      </c>
    </row>
    <row r="301" spans="17:24" x14ac:dyDescent="0.2">
      <c r="Q301" s="18" t="s">
        <v>82</v>
      </c>
      <c r="R301" s="1" t="s">
        <v>83</v>
      </c>
      <c r="S301" s="1" t="s">
        <v>84</v>
      </c>
      <c r="T301" s="1" t="s">
        <v>85</v>
      </c>
      <c r="U301" s="23" t="s">
        <v>86</v>
      </c>
      <c r="V301" s="2">
        <f t="shared" si="28"/>
        <v>0</v>
      </c>
      <c r="W301" t="str">
        <f t="shared" si="29"/>
        <v>Product C</v>
      </c>
      <c r="X301" s="35" t="str">
        <f t="shared" si="27"/>
        <v>---</v>
      </c>
    </row>
    <row r="302" spans="17:24" x14ac:dyDescent="0.2">
      <c r="Q302" s="18" t="s">
        <v>388</v>
      </c>
      <c r="R302" s="2">
        <v>45412</v>
      </c>
      <c r="S302" s="2">
        <v>46108</v>
      </c>
      <c r="T302" s="2">
        <v>46108</v>
      </c>
      <c r="U302" s="22">
        <v>46080</v>
      </c>
      <c r="V302" s="2">
        <f t="shared" si="28"/>
        <v>46080</v>
      </c>
      <c r="W302" t="str">
        <f t="shared" si="29"/>
        <v>SI</v>
      </c>
      <c r="X302" s="35" t="str">
        <f t="shared" si="27"/>
        <v>COMEX</v>
      </c>
    </row>
    <row r="303" spans="17:24" x14ac:dyDescent="0.2">
      <c r="Q303" s="18" t="s">
        <v>389</v>
      </c>
      <c r="R303" s="2">
        <v>45698</v>
      </c>
      <c r="S303" s="2">
        <v>46140</v>
      </c>
      <c r="T303" s="2">
        <v>46140</v>
      </c>
      <c r="U303" s="22">
        <v>46112</v>
      </c>
      <c r="V303" s="2">
        <f t="shared" si="28"/>
        <v>46112</v>
      </c>
      <c r="W303" t="str">
        <f t="shared" si="29"/>
        <v>SI</v>
      </c>
      <c r="X303" s="35" t="str">
        <f t="shared" si="27"/>
        <v>COMEX</v>
      </c>
    </row>
    <row r="304" spans="17:24" x14ac:dyDescent="0.2">
      <c r="Q304" s="18" t="s">
        <v>390</v>
      </c>
      <c r="R304" s="2">
        <v>45471</v>
      </c>
      <c r="S304" s="2">
        <v>46169</v>
      </c>
      <c r="T304" s="2">
        <v>46169</v>
      </c>
      <c r="U304" s="22">
        <v>46142</v>
      </c>
      <c r="V304" s="2">
        <f t="shared" si="28"/>
        <v>46142</v>
      </c>
      <c r="W304" t="str">
        <f t="shared" si="29"/>
        <v>SI</v>
      </c>
      <c r="X304" s="35" t="str">
        <f t="shared" si="27"/>
        <v>COMEX</v>
      </c>
    </row>
    <row r="305" spans="17:24" x14ac:dyDescent="0.2">
      <c r="Q305" s="18" t="s">
        <v>391</v>
      </c>
      <c r="R305" s="2">
        <v>45698</v>
      </c>
      <c r="S305" s="2">
        <v>46199</v>
      </c>
      <c r="T305" s="2">
        <v>46199</v>
      </c>
      <c r="U305" s="22">
        <v>46171</v>
      </c>
      <c r="V305" s="2">
        <f t="shared" si="28"/>
        <v>46171</v>
      </c>
      <c r="W305" t="str">
        <f t="shared" si="29"/>
        <v>SI</v>
      </c>
      <c r="X305" s="35" t="str">
        <f t="shared" si="27"/>
        <v>COMEX</v>
      </c>
    </row>
    <row r="306" spans="17:24" x14ac:dyDescent="0.2">
      <c r="Q306" s="18" t="s">
        <v>392</v>
      </c>
      <c r="R306" s="2">
        <v>44407</v>
      </c>
      <c r="S306" s="2">
        <v>46232</v>
      </c>
      <c r="T306" s="2">
        <v>46232</v>
      </c>
      <c r="U306" s="22">
        <v>46203</v>
      </c>
      <c r="V306" s="2">
        <f t="shared" si="28"/>
        <v>46203</v>
      </c>
      <c r="W306" t="str">
        <f t="shared" si="29"/>
        <v>SI</v>
      </c>
      <c r="X306" s="35" t="str">
        <f t="shared" si="27"/>
        <v>COMEX</v>
      </c>
    </row>
    <row r="307" spans="17:24" x14ac:dyDescent="0.2">
      <c r="Q307" s="18" t="s">
        <v>393</v>
      </c>
      <c r="R307" s="2">
        <v>45698</v>
      </c>
      <c r="S307" s="2">
        <v>46261</v>
      </c>
      <c r="T307" s="2">
        <v>46261</v>
      </c>
      <c r="U307" s="22">
        <v>46234</v>
      </c>
      <c r="V307" s="2">
        <f t="shared" si="28"/>
        <v>46234</v>
      </c>
      <c r="W307" t="str">
        <f t="shared" si="29"/>
        <v>SI</v>
      </c>
      <c r="X307" s="35" t="str">
        <f t="shared" si="27"/>
        <v>COMEX</v>
      </c>
    </row>
    <row r="308" spans="17:24" x14ac:dyDescent="0.2">
      <c r="Q308" s="18" t="s">
        <v>394</v>
      </c>
      <c r="R308" s="2">
        <v>45596</v>
      </c>
      <c r="S308" s="2">
        <v>46293</v>
      </c>
      <c r="T308" s="2">
        <v>46293</v>
      </c>
      <c r="U308" s="22">
        <v>46265</v>
      </c>
      <c r="V308" s="2">
        <f t="shared" si="28"/>
        <v>46265</v>
      </c>
      <c r="W308" t="str">
        <f t="shared" si="29"/>
        <v>SI</v>
      </c>
      <c r="X308" s="35" t="str">
        <f t="shared" si="27"/>
        <v>COMEX</v>
      </c>
    </row>
    <row r="309" spans="17:24" x14ac:dyDescent="0.2">
      <c r="Q309" s="18" t="s">
        <v>395</v>
      </c>
      <c r="R309" s="2">
        <v>45698</v>
      </c>
      <c r="S309" s="2">
        <v>46323</v>
      </c>
      <c r="T309" s="2">
        <v>46323</v>
      </c>
      <c r="U309" s="22">
        <v>46295</v>
      </c>
      <c r="V309" s="2">
        <f t="shared" si="28"/>
        <v>46295</v>
      </c>
      <c r="W309" t="str">
        <f t="shared" si="29"/>
        <v>SI</v>
      </c>
      <c r="X309" s="35" t="str">
        <f t="shared" si="27"/>
        <v>COMEX</v>
      </c>
    </row>
    <row r="310" spans="17:24" x14ac:dyDescent="0.2">
      <c r="Q310" s="18" t="s">
        <v>396</v>
      </c>
      <c r="R310" s="2">
        <v>45698</v>
      </c>
      <c r="S310" s="2">
        <v>46351</v>
      </c>
      <c r="T310" s="2">
        <v>46351</v>
      </c>
      <c r="U310" s="22">
        <v>46325</v>
      </c>
      <c r="V310" s="2">
        <f t="shared" si="28"/>
        <v>46325</v>
      </c>
      <c r="W310" t="str">
        <f t="shared" si="29"/>
        <v>SI</v>
      </c>
      <c r="X310" s="35" t="str">
        <f t="shared" si="27"/>
        <v>COMEX</v>
      </c>
    </row>
    <row r="311" spans="17:24" x14ac:dyDescent="0.2">
      <c r="Q311" s="18" t="s">
        <v>397</v>
      </c>
      <c r="R311" s="2">
        <v>44561</v>
      </c>
      <c r="S311" s="2">
        <v>46385</v>
      </c>
      <c r="T311" s="2">
        <v>46385</v>
      </c>
      <c r="U311" s="22">
        <v>46356</v>
      </c>
      <c r="V311" s="2">
        <f t="shared" si="28"/>
        <v>46356</v>
      </c>
      <c r="W311" t="str">
        <f t="shared" si="29"/>
        <v>SI</v>
      </c>
      <c r="X311" s="35" t="str">
        <f t="shared" si="27"/>
        <v>COMEX</v>
      </c>
    </row>
    <row r="312" spans="17:24" x14ac:dyDescent="0.2">
      <c r="Q312" s="18" t="s">
        <v>398</v>
      </c>
      <c r="R312" s="2">
        <v>45698</v>
      </c>
      <c r="S312" s="2">
        <v>46414</v>
      </c>
      <c r="T312" s="2">
        <v>46414</v>
      </c>
      <c r="U312" s="22">
        <v>46387</v>
      </c>
      <c r="V312" s="2">
        <f t="shared" si="28"/>
        <v>46387</v>
      </c>
      <c r="W312" t="str">
        <f t="shared" si="29"/>
        <v>SI</v>
      </c>
      <c r="X312" s="35" t="str">
        <f t="shared" si="27"/>
        <v>COMEX</v>
      </c>
    </row>
    <row r="313" spans="17:24" x14ac:dyDescent="0.2">
      <c r="Q313" s="18" t="s">
        <v>399</v>
      </c>
      <c r="R313" s="2">
        <v>45715</v>
      </c>
      <c r="S313" s="2">
        <v>46442</v>
      </c>
      <c r="T313" s="2">
        <v>46442</v>
      </c>
      <c r="U313" s="22">
        <v>46416</v>
      </c>
      <c r="V313" s="2">
        <f t="shared" si="28"/>
        <v>46416</v>
      </c>
      <c r="W313" t="str">
        <f t="shared" si="29"/>
        <v>SI</v>
      </c>
      <c r="X313" s="35" t="str">
        <f t="shared" si="27"/>
        <v>COMEX</v>
      </c>
    </row>
    <row r="314" spans="17:24" x14ac:dyDescent="0.2">
      <c r="Q314" s="18" t="s">
        <v>400</v>
      </c>
      <c r="R314" s="2">
        <v>45744</v>
      </c>
      <c r="S314" s="2">
        <v>46475</v>
      </c>
      <c r="T314" s="2">
        <v>46475</v>
      </c>
      <c r="U314" s="22">
        <v>46444</v>
      </c>
      <c r="V314" s="2">
        <f t="shared" si="28"/>
        <v>46444</v>
      </c>
      <c r="W314" t="str">
        <f t="shared" si="29"/>
        <v>SI</v>
      </c>
      <c r="X314" s="35" t="str">
        <f t="shared" si="27"/>
        <v>COMEX</v>
      </c>
    </row>
    <row r="315" spans="17:24" x14ac:dyDescent="0.2">
      <c r="Q315" s="18" t="s">
        <v>401</v>
      </c>
      <c r="R315" s="2">
        <v>45761</v>
      </c>
      <c r="S315" s="2">
        <v>46505</v>
      </c>
      <c r="T315" s="2">
        <v>46505</v>
      </c>
      <c r="U315" s="22">
        <v>46477</v>
      </c>
      <c r="V315" s="2">
        <f t="shared" si="28"/>
        <v>46477</v>
      </c>
      <c r="W315" t="str">
        <f t="shared" si="29"/>
        <v>SI</v>
      </c>
      <c r="X315" s="35" t="str">
        <f t="shared" si="27"/>
        <v>COMEX</v>
      </c>
    </row>
    <row r="316" spans="17:24" x14ac:dyDescent="0.2">
      <c r="Q316" s="18" t="s">
        <v>402</v>
      </c>
      <c r="R316" s="2">
        <v>45761</v>
      </c>
      <c r="S316" s="2">
        <v>46533</v>
      </c>
      <c r="T316" s="2">
        <v>46533</v>
      </c>
      <c r="U316" s="22">
        <v>46507</v>
      </c>
      <c r="V316" s="2">
        <f t="shared" si="28"/>
        <v>46507</v>
      </c>
      <c r="W316" t="str">
        <f t="shared" si="29"/>
        <v>SI</v>
      </c>
      <c r="X316" s="35" t="str">
        <f t="shared" si="27"/>
        <v>COMEX</v>
      </c>
    </row>
    <row r="317" spans="17:24" x14ac:dyDescent="0.2">
      <c r="Q317" s="18" t="s">
        <v>403</v>
      </c>
      <c r="R317" s="2">
        <v>45776</v>
      </c>
      <c r="S317" s="2">
        <v>46566</v>
      </c>
      <c r="T317" s="2">
        <v>46566</v>
      </c>
      <c r="U317" s="22">
        <v>46535</v>
      </c>
      <c r="V317" s="2">
        <f t="shared" si="28"/>
        <v>46535</v>
      </c>
      <c r="W317" t="str">
        <f t="shared" si="29"/>
        <v>SI</v>
      </c>
      <c r="X317" s="35" t="str">
        <f t="shared" si="27"/>
        <v>COMEX</v>
      </c>
    </row>
    <row r="318" spans="17:24" x14ac:dyDescent="0.2">
      <c r="Q318" s="18" t="s">
        <v>404</v>
      </c>
      <c r="R318" s="2">
        <v>44771</v>
      </c>
      <c r="S318" s="2">
        <v>46596</v>
      </c>
      <c r="T318" s="2">
        <v>46596</v>
      </c>
      <c r="U318" s="22">
        <v>46568</v>
      </c>
      <c r="V318" s="2">
        <f t="shared" si="28"/>
        <v>46568</v>
      </c>
      <c r="W318" t="str">
        <f t="shared" si="29"/>
        <v>SI</v>
      </c>
      <c r="X318" s="35" t="str">
        <f t="shared" si="27"/>
        <v>COMEX</v>
      </c>
    </row>
    <row r="319" spans="17:24" x14ac:dyDescent="0.2">
      <c r="Q319" s="18" t="s">
        <v>405</v>
      </c>
      <c r="R319" s="2">
        <v>45835</v>
      </c>
      <c r="S319" s="2">
        <v>46626</v>
      </c>
      <c r="T319" s="2">
        <v>46626</v>
      </c>
      <c r="U319" s="22">
        <v>46598</v>
      </c>
      <c r="V319" s="2">
        <f t="shared" si="28"/>
        <v>46598</v>
      </c>
      <c r="W319" t="str">
        <f t="shared" si="29"/>
        <v>SI</v>
      </c>
      <c r="X319" s="35" t="str">
        <f t="shared" si="27"/>
        <v>COMEX</v>
      </c>
    </row>
    <row r="320" spans="17:24" x14ac:dyDescent="0.2">
      <c r="Q320" s="18" t="s">
        <v>406</v>
      </c>
      <c r="R320" s="2">
        <v>45868</v>
      </c>
      <c r="S320" s="2">
        <v>46658</v>
      </c>
      <c r="T320" s="2">
        <v>46658</v>
      </c>
      <c r="U320" s="22">
        <v>46630</v>
      </c>
      <c r="V320" s="2">
        <f t="shared" si="28"/>
        <v>46630</v>
      </c>
      <c r="W320" t="str">
        <f t="shared" si="29"/>
        <v>SI</v>
      </c>
      <c r="X320" s="35" t="str">
        <f t="shared" si="27"/>
        <v>COMEX</v>
      </c>
    </row>
    <row r="321" spans="17:24" x14ac:dyDescent="0.2">
      <c r="Q321" s="18" t="s">
        <v>407</v>
      </c>
      <c r="R321" s="2">
        <v>45897</v>
      </c>
      <c r="S321" s="2">
        <v>46687</v>
      </c>
      <c r="T321" s="2">
        <v>46687</v>
      </c>
      <c r="U321" s="22">
        <v>46660</v>
      </c>
      <c r="V321" s="2">
        <f t="shared" si="28"/>
        <v>46660</v>
      </c>
      <c r="W321" t="str">
        <f t="shared" si="29"/>
        <v>SI</v>
      </c>
      <c r="X321" s="35" t="str">
        <f t="shared" si="27"/>
        <v>COMEX</v>
      </c>
    </row>
    <row r="322" spans="17:24" x14ac:dyDescent="0.2">
      <c r="Q322" s="18" t="s">
        <v>408</v>
      </c>
      <c r="R322" s="2">
        <v>45929</v>
      </c>
      <c r="S322" s="2">
        <v>46717</v>
      </c>
      <c r="T322" s="2">
        <v>46717</v>
      </c>
      <c r="U322" s="22">
        <v>46689</v>
      </c>
      <c r="V322" s="2">
        <f t="shared" si="28"/>
        <v>46689</v>
      </c>
      <c r="W322" t="str">
        <f t="shared" si="29"/>
        <v>SI</v>
      </c>
      <c r="X322" s="35" t="str">
        <f t="shared" si="27"/>
        <v>COMEX</v>
      </c>
    </row>
    <row r="323" spans="17:24" x14ac:dyDescent="0.2">
      <c r="Q323" s="18" t="s">
        <v>409</v>
      </c>
      <c r="R323" s="2">
        <v>44925</v>
      </c>
      <c r="S323" s="2">
        <v>46750</v>
      </c>
      <c r="T323" s="2">
        <v>46750</v>
      </c>
      <c r="U323" s="22">
        <v>46721</v>
      </c>
      <c r="V323" s="2">
        <f t="shared" si="28"/>
        <v>46721</v>
      </c>
      <c r="W323" t="str">
        <f t="shared" si="29"/>
        <v>SI</v>
      </c>
      <c r="X323" s="35" t="str">
        <f t="shared" ref="X323:X386" si="30">IFERROR(INDEX(AD:AD, MATCH(W323,AC:AC,0)),"---")</f>
        <v>COMEX</v>
      </c>
    </row>
    <row r="324" spans="17:24" x14ac:dyDescent="0.2">
      <c r="Q324" s="18" t="s">
        <v>410</v>
      </c>
      <c r="R324" s="2">
        <v>45987</v>
      </c>
      <c r="S324" s="2">
        <v>46779</v>
      </c>
      <c r="T324" s="2">
        <v>46779</v>
      </c>
      <c r="U324" s="22">
        <v>46752</v>
      </c>
      <c r="V324" s="2">
        <f t="shared" ref="V324:V387" si="31">MIN(S324:U324)</f>
        <v>46752</v>
      </c>
      <c r="W324" t="str">
        <f t="shared" ref="W324:W387" si="32">MID(Q324,1,LEN(Q324)-3)</f>
        <v>SI</v>
      </c>
      <c r="X324" s="35" t="str">
        <f t="shared" si="30"/>
        <v>COMEX</v>
      </c>
    </row>
    <row r="325" spans="17:24" x14ac:dyDescent="0.2">
      <c r="Q325" s="18" t="s">
        <v>411</v>
      </c>
      <c r="R325" s="2">
        <v>46021</v>
      </c>
      <c r="S325" s="2">
        <v>46808</v>
      </c>
      <c r="T325" s="2">
        <v>46808</v>
      </c>
      <c r="U325" s="22">
        <v>46783</v>
      </c>
      <c r="V325" s="2">
        <f t="shared" si="31"/>
        <v>46783</v>
      </c>
      <c r="W325" t="str">
        <f t="shared" si="32"/>
        <v>SI</v>
      </c>
      <c r="X325" s="35" t="str">
        <f t="shared" si="30"/>
        <v>COMEX</v>
      </c>
    </row>
    <row r="326" spans="17:24" x14ac:dyDescent="0.2">
      <c r="Q326" s="18" t="s">
        <v>412</v>
      </c>
      <c r="R326" s="2">
        <v>46051</v>
      </c>
      <c r="S326" s="2">
        <v>46841</v>
      </c>
      <c r="T326" s="2">
        <v>46841</v>
      </c>
      <c r="U326" s="22">
        <v>46812</v>
      </c>
      <c r="V326" s="2">
        <f t="shared" si="31"/>
        <v>46812</v>
      </c>
      <c r="W326" t="str">
        <f t="shared" si="32"/>
        <v>SI</v>
      </c>
      <c r="X326" s="35" t="str">
        <f t="shared" si="30"/>
        <v>COMEX</v>
      </c>
    </row>
    <row r="327" spans="17:24" x14ac:dyDescent="0.2">
      <c r="Q327" s="18" t="s">
        <v>413</v>
      </c>
      <c r="R327" s="2">
        <v>46079</v>
      </c>
      <c r="S327" s="2">
        <v>46869</v>
      </c>
      <c r="T327" s="2">
        <v>46869</v>
      </c>
      <c r="U327" s="22">
        <v>46843</v>
      </c>
      <c r="V327" s="2">
        <f t="shared" si="31"/>
        <v>46843</v>
      </c>
      <c r="W327" t="str">
        <f t="shared" si="32"/>
        <v>SI</v>
      </c>
      <c r="X327" s="35" t="str">
        <f t="shared" si="30"/>
        <v>COMEX</v>
      </c>
    </row>
    <row r="328" spans="17:24" x14ac:dyDescent="0.2">
      <c r="Q328" s="18" t="s">
        <v>414</v>
      </c>
      <c r="R328" s="2">
        <v>46111</v>
      </c>
      <c r="S328" s="2">
        <v>46899</v>
      </c>
      <c r="T328" s="2">
        <v>46899</v>
      </c>
      <c r="U328" s="22">
        <v>46871</v>
      </c>
      <c r="V328" s="2">
        <f t="shared" si="31"/>
        <v>46871</v>
      </c>
      <c r="W328" t="str">
        <f t="shared" si="32"/>
        <v>SI</v>
      </c>
      <c r="X328" s="35" t="str">
        <f t="shared" si="30"/>
        <v>COMEX</v>
      </c>
    </row>
    <row r="329" spans="17:24" x14ac:dyDescent="0.2">
      <c r="Q329" s="18" t="s">
        <v>415</v>
      </c>
      <c r="R329" s="2">
        <v>45138</v>
      </c>
      <c r="S329" s="2">
        <v>46961</v>
      </c>
      <c r="T329" s="2">
        <v>46961</v>
      </c>
      <c r="U329" s="22">
        <v>46934</v>
      </c>
      <c r="V329" s="2">
        <f t="shared" si="31"/>
        <v>46934</v>
      </c>
      <c r="W329" t="str">
        <f t="shared" si="32"/>
        <v>SI</v>
      </c>
      <c r="X329" s="35" t="str">
        <f t="shared" si="30"/>
        <v>COMEX</v>
      </c>
    </row>
    <row r="330" spans="17:24" x14ac:dyDescent="0.2">
      <c r="Q330" s="18" t="s">
        <v>416</v>
      </c>
      <c r="R330" s="2">
        <v>45289</v>
      </c>
      <c r="S330" s="2">
        <v>47114</v>
      </c>
      <c r="T330" s="2">
        <v>47114</v>
      </c>
      <c r="U330" s="22">
        <v>47087</v>
      </c>
      <c r="V330" s="2">
        <f t="shared" si="31"/>
        <v>47087</v>
      </c>
      <c r="W330" t="str">
        <f t="shared" si="32"/>
        <v>SI</v>
      </c>
      <c r="X330" s="35" t="str">
        <f t="shared" si="30"/>
        <v>COMEX</v>
      </c>
    </row>
    <row r="331" spans="17:24" x14ac:dyDescent="0.2">
      <c r="Q331" s="18" t="s">
        <v>417</v>
      </c>
      <c r="R331" s="2">
        <v>45504</v>
      </c>
      <c r="S331" s="2">
        <v>47326</v>
      </c>
      <c r="T331" s="2">
        <v>47326</v>
      </c>
      <c r="U331" s="22">
        <v>47298</v>
      </c>
      <c r="V331" s="2">
        <f t="shared" si="31"/>
        <v>47298</v>
      </c>
      <c r="W331" t="str">
        <f t="shared" si="32"/>
        <v>SI</v>
      </c>
      <c r="X331" s="35" t="str">
        <f t="shared" si="30"/>
        <v>COMEX</v>
      </c>
    </row>
    <row r="332" spans="17:24" x14ac:dyDescent="0.2">
      <c r="Q332" s="18" t="s">
        <v>418</v>
      </c>
      <c r="R332" s="2">
        <v>45657</v>
      </c>
      <c r="S332" s="2">
        <v>47479</v>
      </c>
      <c r="T332" s="2">
        <v>47479</v>
      </c>
      <c r="U332" s="22">
        <v>47452</v>
      </c>
      <c r="V332" s="2">
        <f t="shared" si="31"/>
        <v>47452</v>
      </c>
      <c r="W332" t="str">
        <f t="shared" si="32"/>
        <v>SI</v>
      </c>
      <c r="X332" s="35" t="str">
        <f t="shared" si="30"/>
        <v>COMEX</v>
      </c>
    </row>
    <row r="333" spans="17:24" x14ac:dyDescent="0.2">
      <c r="Q333" s="18" t="s">
        <v>419</v>
      </c>
      <c r="R333" s="2">
        <v>45868</v>
      </c>
      <c r="S333" s="2">
        <v>47693</v>
      </c>
      <c r="T333" s="2">
        <v>47693</v>
      </c>
      <c r="U333" s="22">
        <v>47662</v>
      </c>
      <c r="V333" s="2">
        <f t="shared" si="31"/>
        <v>47662</v>
      </c>
      <c r="W333" t="str">
        <f t="shared" si="32"/>
        <v>SI</v>
      </c>
      <c r="X333" s="35" t="str">
        <f t="shared" si="30"/>
        <v>COMEX</v>
      </c>
    </row>
    <row r="334" spans="17:24" x14ac:dyDescent="0.2">
      <c r="Q334" s="18" t="s">
        <v>420</v>
      </c>
      <c r="R334" s="2">
        <v>46021</v>
      </c>
      <c r="S334" s="2">
        <v>47844</v>
      </c>
      <c r="T334" s="2">
        <v>47844</v>
      </c>
      <c r="U334" s="22">
        <v>47816</v>
      </c>
      <c r="V334" s="2">
        <f t="shared" si="31"/>
        <v>47816</v>
      </c>
      <c r="W334" t="str">
        <f t="shared" si="32"/>
        <v>SI</v>
      </c>
      <c r="X334" s="35" t="str">
        <f t="shared" si="30"/>
        <v>COMEX</v>
      </c>
    </row>
    <row r="335" spans="17:24" x14ac:dyDescent="0.2">
      <c r="Q335" s="18" t="s">
        <v>82</v>
      </c>
      <c r="R335" s="1" t="s">
        <v>83</v>
      </c>
      <c r="S335" s="1" t="s">
        <v>84</v>
      </c>
      <c r="T335" s="1" t="s">
        <v>85</v>
      </c>
      <c r="U335" s="23" t="s">
        <v>86</v>
      </c>
      <c r="V335" s="2">
        <f t="shared" si="31"/>
        <v>0</v>
      </c>
      <c r="W335" t="str">
        <f t="shared" si="32"/>
        <v>Product C</v>
      </c>
      <c r="X335" s="35" t="str">
        <f t="shared" si="30"/>
        <v>---</v>
      </c>
    </row>
    <row r="336" spans="17:24" x14ac:dyDescent="0.2">
      <c r="Q336" s="18" t="s">
        <v>423</v>
      </c>
      <c r="R336" s="2">
        <v>45747</v>
      </c>
      <c r="S336" s="2">
        <v>46108</v>
      </c>
      <c r="T336" s="2">
        <v>46108</v>
      </c>
      <c r="U336" s="22">
        <v>46080</v>
      </c>
      <c r="V336" s="2">
        <f t="shared" si="31"/>
        <v>46080</v>
      </c>
      <c r="W336" t="str">
        <f t="shared" si="32"/>
        <v>SIL</v>
      </c>
      <c r="X336" s="35" t="str">
        <f t="shared" si="30"/>
        <v>COMEX_MINI</v>
      </c>
    </row>
    <row r="337" spans="17:24" x14ac:dyDescent="0.2">
      <c r="Q337" s="18" t="s">
        <v>424</v>
      </c>
      <c r="R337" s="2">
        <v>46052</v>
      </c>
      <c r="S337" s="2">
        <v>46140</v>
      </c>
      <c r="T337" s="2">
        <v>46140</v>
      </c>
      <c r="U337" s="22">
        <v>46112</v>
      </c>
      <c r="V337" s="2">
        <f t="shared" si="31"/>
        <v>46112</v>
      </c>
      <c r="W337" t="str">
        <f t="shared" si="32"/>
        <v>SIL</v>
      </c>
      <c r="X337" s="35" t="str">
        <f t="shared" si="30"/>
        <v>COMEX_MINI</v>
      </c>
    </row>
    <row r="338" spans="17:24" x14ac:dyDescent="0.2">
      <c r="Q338" s="18" t="s">
        <v>425</v>
      </c>
      <c r="R338" s="2">
        <v>45807</v>
      </c>
      <c r="S338" s="2">
        <v>46169</v>
      </c>
      <c r="T338" s="2">
        <v>46169</v>
      </c>
      <c r="U338" s="22">
        <v>46142</v>
      </c>
      <c r="V338" s="2">
        <f t="shared" si="31"/>
        <v>46142</v>
      </c>
      <c r="W338" t="str">
        <f t="shared" si="32"/>
        <v>SIL</v>
      </c>
      <c r="X338" s="35" t="str">
        <f t="shared" si="30"/>
        <v>COMEX_MINI</v>
      </c>
    </row>
    <row r="339" spans="17:24" x14ac:dyDescent="0.2">
      <c r="Q339" s="18" t="s">
        <v>426</v>
      </c>
      <c r="R339" s="2">
        <v>46112</v>
      </c>
      <c r="S339" s="2">
        <v>46199</v>
      </c>
      <c r="T339" s="2">
        <v>46199</v>
      </c>
      <c r="U339" s="22">
        <v>46171</v>
      </c>
      <c r="V339" s="2">
        <f t="shared" si="31"/>
        <v>46171</v>
      </c>
      <c r="W339" t="str">
        <f t="shared" si="32"/>
        <v>SIL</v>
      </c>
      <c r="X339" s="35" t="str">
        <f t="shared" si="30"/>
        <v>COMEX_MINI</v>
      </c>
    </row>
    <row r="340" spans="17:24" x14ac:dyDescent="0.2">
      <c r="Q340" s="18" t="s">
        <v>427</v>
      </c>
      <c r="R340" s="2">
        <v>45869</v>
      </c>
      <c r="S340" s="2">
        <v>46232</v>
      </c>
      <c r="T340" s="2">
        <v>46232</v>
      </c>
      <c r="U340" s="22">
        <v>46203</v>
      </c>
      <c r="V340" s="2">
        <f t="shared" si="31"/>
        <v>46203</v>
      </c>
      <c r="W340" t="str">
        <f t="shared" si="32"/>
        <v>SIL</v>
      </c>
      <c r="X340" s="35" t="str">
        <f t="shared" si="30"/>
        <v>COMEX_MINI</v>
      </c>
    </row>
    <row r="341" spans="17:24" x14ac:dyDescent="0.2">
      <c r="Q341" s="18" t="s">
        <v>428</v>
      </c>
      <c r="R341" s="2">
        <v>45930</v>
      </c>
      <c r="S341" s="2">
        <v>46293</v>
      </c>
      <c r="T341" s="2">
        <v>46293</v>
      </c>
      <c r="U341" s="22">
        <v>46265</v>
      </c>
      <c r="V341" s="2">
        <f t="shared" si="31"/>
        <v>46265</v>
      </c>
      <c r="W341" t="str">
        <f t="shared" si="32"/>
        <v>SIL</v>
      </c>
      <c r="X341" s="35" t="str">
        <f t="shared" si="30"/>
        <v>COMEX_MINI</v>
      </c>
    </row>
    <row r="342" spans="17:24" x14ac:dyDescent="0.2">
      <c r="Q342" s="18" t="s">
        <v>429</v>
      </c>
      <c r="R342" s="2">
        <v>46022</v>
      </c>
      <c r="S342" s="2">
        <v>46385</v>
      </c>
      <c r="T342" s="2">
        <v>46385</v>
      </c>
      <c r="U342" s="22">
        <v>46356</v>
      </c>
      <c r="V342" s="2">
        <f t="shared" si="31"/>
        <v>46356</v>
      </c>
      <c r="W342" t="str">
        <f t="shared" si="32"/>
        <v>SIL</v>
      </c>
      <c r="X342" s="35" t="str">
        <f t="shared" si="30"/>
        <v>COMEX_MINI</v>
      </c>
    </row>
    <row r="343" spans="17:24" x14ac:dyDescent="0.2">
      <c r="Q343" s="18" t="s">
        <v>430</v>
      </c>
      <c r="R343" s="2">
        <v>46052</v>
      </c>
      <c r="S343" s="2">
        <v>46414</v>
      </c>
      <c r="T343" s="2">
        <v>46414</v>
      </c>
      <c r="U343" s="22">
        <v>46387</v>
      </c>
      <c r="V343" s="2">
        <f t="shared" si="31"/>
        <v>46387</v>
      </c>
      <c r="W343" t="str">
        <f t="shared" si="32"/>
        <v>SIL</v>
      </c>
      <c r="X343" s="35" t="str">
        <f t="shared" si="30"/>
        <v>COMEX_MINI</v>
      </c>
    </row>
    <row r="344" spans="17:24" x14ac:dyDescent="0.2">
      <c r="Q344" s="18" t="s">
        <v>431</v>
      </c>
      <c r="R344" s="2">
        <v>46112</v>
      </c>
      <c r="S344" s="2">
        <v>46475</v>
      </c>
      <c r="T344" s="2">
        <v>46475</v>
      </c>
      <c r="U344" s="22">
        <v>46444</v>
      </c>
      <c r="V344" s="2">
        <f t="shared" si="31"/>
        <v>46444</v>
      </c>
      <c r="W344" t="str">
        <f t="shared" si="32"/>
        <v>SIL</v>
      </c>
      <c r="X344" s="35" t="str">
        <f t="shared" si="30"/>
        <v>COMEX_MINI</v>
      </c>
    </row>
    <row r="345" spans="17:24" x14ac:dyDescent="0.2">
      <c r="Q345" s="18" t="s">
        <v>82</v>
      </c>
      <c r="R345" s="1" t="s">
        <v>83</v>
      </c>
      <c r="S345" s="1" t="s">
        <v>84</v>
      </c>
      <c r="T345" s="1" t="s">
        <v>85</v>
      </c>
      <c r="U345" s="38" t="s">
        <v>422</v>
      </c>
      <c r="V345" s="2">
        <f t="shared" si="31"/>
        <v>0</v>
      </c>
      <c r="W345" t="str">
        <f t="shared" si="32"/>
        <v>Product C</v>
      </c>
      <c r="X345" s="35" t="str">
        <f t="shared" si="30"/>
        <v>---</v>
      </c>
    </row>
    <row r="346" spans="17:24" x14ac:dyDescent="0.2">
      <c r="Q346" s="18" t="s">
        <v>432</v>
      </c>
      <c r="R346" s="2">
        <v>45565</v>
      </c>
      <c r="S346" s="2">
        <v>46108</v>
      </c>
      <c r="T346" s="2">
        <v>46108</v>
      </c>
      <c r="U346" s="38" t="s">
        <v>422</v>
      </c>
      <c r="V346" s="2">
        <f t="shared" si="31"/>
        <v>46108</v>
      </c>
      <c r="W346" t="str">
        <f t="shared" si="32"/>
        <v>MBT</v>
      </c>
      <c r="X346" s="35" t="str">
        <f t="shared" si="30"/>
        <v>CME</v>
      </c>
    </row>
    <row r="347" spans="17:24" x14ac:dyDescent="0.2">
      <c r="Q347" s="18" t="s">
        <v>433</v>
      </c>
      <c r="R347" s="2">
        <v>45964</v>
      </c>
      <c r="S347" s="2">
        <v>46136</v>
      </c>
      <c r="T347" s="2">
        <v>46136</v>
      </c>
      <c r="U347" s="38" t="s">
        <v>422</v>
      </c>
      <c r="V347" s="2">
        <f t="shared" si="31"/>
        <v>46136</v>
      </c>
      <c r="W347" t="str">
        <f t="shared" si="32"/>
        <v>MBT</v>
      </c>
      <c r="X347" s="35" t="str">
        <f t="shared" si="30"/>
        <v>CME</v>
      </c>
    </row>
    <row r="348" spans="17:24" x14ac:dyDescent="0.2">
      <c r="Q348" s="18" t="s">
        <v>434</v>
      </c>
      <c r="R348" s="2">
        <v>45992</v>
      </c>
      <c r="S348" s="2">
        <v>46171</v>
      </c>
      <c r="T348" s="2">
        <v>46171</v>
      </c>
      <c r="U348" s="38" t="s">
        <v>422</v>
      </c>
      <c r="V348" s="2">
        <f t="shared" si="31"/>
        <v>46171</v>
      </c>
      <c r="W348" t="str">
        <f t="shared" si="32"/>
        <v>MBT</v>
      </c>
      <c r="X348" s="35" t="str">
        <f t="shared" si="30"/>
        <v>CME</v>
      </c>
    </row>
    <row r="349" spans="17:24" x14ac:dyDescent="0.2">
      <c r="Q349" s="18" t="s">
        <v>435</v>
      </c>
      <c r="R349" s="2">
        <v>45656</v>
      </c>
      <c r="S349" s="2">
        <v>46199</v>
      </c>
      <c r="T349" s="2">
        <v>46199</v>
      </c>
      <c r="U349" s="38" t="s">
        <v>422</v>
      </c>
      <c r="V349" s="2">
        <f t="shared" si="31"/>
        <v>46199</v>
      </c>
      <c r="W349" t="str">
        <f t="shared" si="32"/>
        <v>MBT</v>
      </c>
      <c r="X349" s="35" t="str">
        <f t="shared" si="30"/>
        <v>CME</v>
      </c>
    </row>
    <row r="350" spans="17:24" x14ac:dyDescent="0.2">
      <c r="Q350" s="18" t="s">
        <v>436</v>
      </c>
      <c r="R350" s="2">
        <v>46055</v>
      </c>
      <c r="S350" s="2">
        <v>46234</v>
      </c>
      <c r="T350" s="2">
        <v>46234</v>
      </c>
      <c r="U350" s="38" t="s">
        <v>422</v>
      </c>
      <c r="V350" s="2">
        <f t="shared" si="31"/>
        <v>46234</v>
      </c>
      <c r="W350" t="str">
        <f t="shared" si="32"/>
        <v>MBT</v>
      </c>
      <c r="X350" s="35" t="str">
        <f t="shared" si="30"/>
        <v>CME</v>
      </c>
    </row>
    <row r="351" spans="17:24" x14ac:dyDescent="0.2">
      <c r="Q351" s="18" t="s">
        <v>437</v>
      </c>
      <c r="R351" s="2">
        <v>46083</v>
      </c>
      <c r="S351" s="2">
        <v>46262</v>
      </c>
      <c r="T351" s="2">
        <v>46262</v>
      </c>
      <c r="U351" s="38" t="s">
        <v>422</v>
      </c>
      <c r="V351" s="2">
        <f t="shared" si="31"/>
        <v>46262</v>
      </c>
      <c r="W351" t="str">
        <f t="shared" si="32"/>
        <v>MBT</v>
      </c>
      <c r="X351" s="35" t="str">
        <f t="shared" si="30"/>
        <v>CME</v>
      </c>
    </row>
    <row r="352" spans="17:24" x14ac:dyDescent="0.2">
      <c r="Q352" s="18" t="s">
        <v>438</v>
      </c>
      <c r="R352" s="2">
        <v>45747</v>
      </c>
      <c r="S352" s="2">
        <v>46290</v>
      </c>
      <c r="T352" s="2">
        <v>46290</v>
      </c>
      <c r="U352" s="38" t="s">
        <v>422</v>
      </c>
      <c r="V352" s="2">
        <f t="shared" si="31"/>
        <v>46290</v>
      </c>
      <c r="W352" t="str">
        <f t="shared" si="32"/>
        <v>MBT</v>
      </c>
      <c r="X352" s="35" t="str">
        <f t="shared" si="30"/>
        <v>CME</v>
      </c>
    </row>
    <row r="353" spans="17:24" x14ac:dyDescent="0.2">
      <c r="Q353" s="18" t="s">
        <v>439</v>
      </c>
      <c r="R353" s="2">
        <v>45656</v>
      </c>
      <c r="S353" s="2">
        <v>46380</v>
      </c>
      <c r="T353" s="2">
        <v>46380</v>
      </c>
      <c r="U353" s="38" t="s">
        <v>422</v>
      </c>
      <c r="V353" s="2">
        <f t="shared" si="31"/>
        <v>46380</v>
      </c>
      <c r="W353" t="str">
        <f t="shared" si="32"/>
        <v>MBT</v>
      </c>
      <c r="X353" s="35" t="str">
        <f t="shared" si="30"/>
        <v>CME</v>
      </c>
    </row>
    <row r="354" spans="17:24" x14ac:dyDescent="0.2">
      <c r="Q354" s="18" t="s">
        <v>440</v>
      </c>
      <c r="R354" s="2">
        <v>45929</v>
      </c>
      <c r="S354" s="2">
        <v>46471</v>
      </c>
      <c r="T354" s="2">
        <v>46471</v>
      </c>
      <c r="U354" s="38" t="s">
        <v>422</v>
      </c>
      <c r="V354" s="2">
        <f t="shared" si="31"/>
        <v>46471</v>
      </c>
      <c r="W354" t="str">
        <f t="shared" si="32"/>
        <v>MBT</v>
      </c>
      <c r="X354" s="35" t="str">
        <f t="shared" si="30"/>
        <v>CME</v>
      </c>
    </row>
    <row r="355" spans="17:24" x14ac:dyDescent="0.2">
      <c r="Q355" s="18" t="s">
        <v>441</v>
      </c>
      <c r="R355" s="2">
        <v>46020</v>
      </c>
      <c r="S355" s="2">
        <v>46563</v>
      </c>
      <c r="T355" s="2">
        <v>46563</v>
      </c>
      <c r="U355" s="38" t="s">
        <v>422</v>
      </c>
      <c r="V355" s="2">
        <f t="shared" si="31"/>
        <v>46563</v>
      </c>
      <c r="W355" t="str">
        <f t="shared" si="32"/>
        <v>MBT</v>
      </c>
      <c r="X355" s="35" t="str">
        <f t="shared" si="30"/>
        <v>CME</v>
      </c>
    </row>
    <row r="356" spans="17:24" x14ac:dyDescent="0.2">
      <c r="Q356" s="18" t="s">
        <v>442</v>
      </c>
      <c r="R356" s="2">
        <v>46111</v>
      </c>
      <c r="S356" s="2">
        <v>46654</v>
      </c>
      <c r="T356" s="2">
        <v>46654</v>
      </c>
      <c r="U356" s="38" t="s">
        <v>422</v>
      </c>
      <c r="V356" s="2">
        <f t="shared" si="31"/>
        <v>46654</v>
      </c>
      <c r="W356" t="str">
        <f t="shared" si="32"/>
        <v>MBT</v>
      </c>
      <c r="X356" s="35" t="str">
        <f t="shared" si="30"/>
        <v>CME</v>
      </c>
    </row>
    <row r="357" spans="17:24" x14ac:dyDescent="0.2">
      <c r="Q357" s="18" t="s">
        <v>443</v>
      </c>
      <c r="R357" s="2">
        <v>46020</v>
      </c>
      <c r="S357" s="2">
        <v>46752</v>
      </c>
      <c r="T357" s="2">
        <v>46752</v>
      </c>
      <c r="U357" s="38" t="s">
        <v>422</v>
      </c>
      <c r="V357" s="2">
        <f t="shared" si="31"/>
        <v>46752</v>
      </c>
      <c r="W357" t="str">
        <f t="shared" si="32"/>
        <v>MBT</v>
      </c>
      <c r="X357" s="35" t="str">
        <f t="shared" si="30"/>
        <v>CME</v>
      </c>
    </row>
    <row r="358" spans="17:24" x14ac:dyDescent="0.2">
      <c r="Q358" s="18" t="s">
        <v>82</v>
      </c>
      <c r="R358" s="1" t="s">
        <v>83</v>
      </c>
      <c r="S358" s="1" t="s">
        <v>84</v>
      </c>
      <c r="T358" s="1" t="s">
        <v>85</v>
      </c>
      <c r="U358" s="38" t="s">
        <v>422</v>
      </c>
      <c r="V358" s="2">
        <f t="shared" si="31"/>
        <v>0</v>
      </c>
      <c r="W358" t="str">
        <f t="shared" si="32"/>
        <v>Product C</v>
      </c>
      <c r="X358" s="35" t="str">
        <f t="shared" si="30"/>
        <v>---</v>
      </c>
    </row>
    <row r="359" spans="17:24" x14ac:dyDescent="0.2">
      <c r="Q359" s="18" t="s">
        <v>444</v>
      </c>
      <c r="R359" s="2">
        <v>44271</v>
      </c>
      <c r="S359" s="2">
        <v>46097</v>
      </c>
      <c r="T359" s="2">
        <v>46097</v>
      </c>
      <c r="U359" s="38" t="s">
        <v>422</v>
      </c>
      <c r="V359" s="2">
        <f t="shared" si="31"/>
        <v>46097</v>
      </c>
      <c r="W359" t="str">
        <f t="shared" si="32"/>
        <v>EC</v>
      </c>
      <c r="X359" s="35" t="str">
        <f t="shared" si="30"/>
        <v>CME</v>
      </c>
    </row>
    <row r="360" spans="17:24" x14ac:dyDescent="0.2">
      <c r="Q360" s="18" t="s">
        <v>445</v>
      </c>
      <c r="R360" s="2">
        <v>45979</v>
      </c>
      <c r="S360" s="2">
        <v>46125</v>
      </c>
      <c r="T360" s="2">
        <v>46125</v>
      </c>
      <c r="U360" s="38" t="s">
        <v>422</v>
      </c>
      <c r="V360" s="2">
        <f t="shared" si="31"/>
        <v>46125</v>
      </c>
      <c r="W360" t="str">
        <f t="shared" si="32"/>
        <v>EC</v>
      </c>
      <c r="X360" s="35" t="str">
        <f t="shared" si="30"/>
        <v>CME</v>
      </c>
    </row>
    <row r="361" spans="17:24" x14ac:dyDescent="0.2">
      <c r="Q361" s="18" t="s">
        <v>446</v>
      </c>
      <c r="R361" s="2">
        <v>46042</v>
      </c>
      <c r="S361" s="2">
        <v>46160</v>
      </c>
      <c r="T361" s="2">
        <v>46160</v>
      </c>
      <c r="U361" s="38" t="s">
        <v>422</v>
      </c>
      <c r="V361" s="2">
        <f t="shared" si="31"/>
        <v>46160</v>
      </c>
      <c r="W361" t="str">
        <f t="shared" si="32"/>
        <v>EC</v>
      </c>
      <c r="X361" s="35" t="str">
        <f t="shared" si="30"/>
        <v>CME</v>
      </c>
    </row>
    <row r="362" spans="17:24" x14ac:dyDescent="0.2">
      <c r="Q362" s="18" t="s">
        <v>447</v>
      </c>
      <c r="R362" s="2">
        <v>44362</v>
      </c>
      <c r="S362" s="2">
        <v>46188</v>
      </c>
      <c r="T362" s="2">
        <v>46188</v>
      </c>
      <c r="U362" s="38" t="s">
        <v>422</v>
      </c>
      <c r="V362" s="2">
        <f t="shared" si="31"/>
        <v>46188</v>
      </c>
      <c r="W362" t="str">
        <f t="shared" si="32"/>
        <v>EC</v>
      </c>
      <c r="X362" s="35" t="str">
        <f t="shared" si="30"/>
        <v>CME</v>
      </c>
    </row>
    <row r="363" spans="17:24" x14ac:dyDescent="0.2">
      <c r="Q363" s="18" t="s">
        <v>448</v>
      </c>
      <c r="R363" s="2">
        <v>46070</v>
      </c>
      <c r="S363" s="2">
        <v>46216</v>
      </c>
      <c r="T363" s="2">
        <v>46216</v>
      </c>
      <c r="U363" s="38" t="s">
        <v>422</v>
      </c>
      <c r="V363" s="2">
        <f t="shared" si="31"/>
        <v>46216</v>
      </c>
      <c r="W363" t="str">
        <f t="shared" si="32"/>
        <v>EC</v>
      </c>
      <c r="X363" s="35" t="str">
        <f t="shared" si="30"/>
        <v>CME</v>
      </c>
    </row>
    <row r="364" spans="17:24" x14ac:dyDescent="0.2">
      <c r="Q364" s="18" t="s">
        <v>449</v>
      </c>
      <c r="R364" s="2">
        <v>46126</v>
      </c>
      <c r="S364" s="2">
        <v>46251</v>
      </c>
      <c r="T364" s="2">
        <v>46251</v>
      </c>
      <c r="U364" s="38" t="s">
        <v>422</v>
      </c>
      <c r="V364" s="2">
        <f t="shared" si="31"/>
        <v>46251</v>
      </c>
      <c r="W364" t="str">
        <f t="shared" si="32"/>
        <v>EC</v>
      </c>
      <c r="X364" s="35" t="str">
        <f t="shared" si="30"/>
        <v>CME</v>
      </c>
    </row>
    <row r="365" spans="17:24" x14ac:dyDescent="0.2">
      <c r="Q365" s="18" t="s">
        <v>450</v>
      </c>
      <c r="R365" s="2">
        <v>44453</v>
      </c>
      <c r="S365" s="2">
        <v>46279</v>
      </c>
      <c r="T365" s="2">
        <v>46279</v>
      </c>
      <c r="U365" s="38" t="s">
        <v>422</v>
      </c>
      <c r="V365" s="2">
        <f t="shared" si="31"/>
        <v>46279</v>
      </c>
      <c r="W365" t="str">
        <f t="shared" si="32"/>
        <v>EC</v>
      </c>
      <c r="X365" s="35" t="str">
        <f t="shared" si="30"/>
        <v>CME</v>
      </c>
    </row>
    <row r="366" spans="17:24" x14ac:dyDescent="0.2">
      <c r="Q366" s="18" t="s">
        <v>451</v>
      </c>
      <c r="R366" s="2">
        <v>44544</v>
      </c>
      <c r="S366" s="2">
        <v>46370</v>
      </c>
      <c r="T366" s="2">
        <v>46370</v>
      </c>
      <c r="U366" s="38" t="s">
        <v>422</v>
      </c>
      <c r="V366" s="2">
        <f t="shared" si="31"/>
        <v>46370</v>
      </c>
      <c r="W366" t="str">
        <f t="shared" si="32"/>
        <v>EC</v>
      </c>
      <c r="X366" s="35" t="str">
        <f t="shared" si="30"/>
        <v>CME</v>
      </c>
    </row>
    <row r="367" spans="17:24" x14ac:dyDescent="0.2">
      <c r="Q367" s="18" t="s">
        <v>452</v>
      </c>
      <c r="R367" s="2">
        <v>44635</v>
      </c>
      <c r="S367" s="2">
        <v>46461</v>
      </c>
      <c r="T367" s="2">
        <v>46461</v>
      </c>
      <c r="U367" s="38" t="s">
        <v>422</v>
      </c>
      <c r="V367" s="2">
        <f t="shared" si="31"/>
        <v>46461</v>
      </c>
      <c r="W367" t="str">
        <f t="shared" si="32"/>
        <v>EC</v>
      </c>
      <c r="X367" s="35" t="str">
        <f t="shared" si="30"/>
        <v>CME</v>
      </c>
    </row>
    <row r="368" spans="17:24" x14ac:dyDescent="0.2">
      <c r="Q368" s="18" t="s">
        <v>453</v>
      </c>
      <c r="R368" s="2">
        <v>44726</v>
      </c>
      <c r="S368" s="2">
        <v>46552</v>
      </c>
      <c r="T368" s="2">
        <v>46552</v>
      </c>
      <c r="U368" s="38" t="s">
        <v>422</v>
      </c>
      <c r="V368" s="2">
        <f t="shared" si="31"/>
        <v>46552</v>
      </c>
      <c r="W368" t="str">
        <f t="shared" si="32"/>
        <v>EC</v>
      </c>
      <c r="X368" s="35" t="str">
        <f t="shared" si="30"/>
        <v>CME</v>
      </c>
    </row>
    <row r="369" spans="17:24" x14ac:dyDescent="0.2">
      <c r="Q369" s="18" t="s">
        <v>454</v>
      </c>
      <c r="R369" s="2">
        <v>44824</v>
      </c>
      <c r="S369" s="2">
        <v>46643</v>
      </c>
      <c r="T369" s="2">
        <v>46643</v>
      </c>
      <c r="U369" s="38" t="s">
        <v>422</v>
      </c>
      <c r="V369" s="2">
        <f t="shared" si="31"/>
        <v>46643</v>
      </c>
      <c r="W369" t="str">
        <f t="shared" si="32"/>
        <v>EC</v>
      </c>
      <c r="X369" s="35" t="str">
        <f t="shared" si="30"/>
        <v>CME</v>
      </c>
    </row>
    <row r="370" spans="17:24" x14ac:dyDescent="0.2">
      <c r="Q370" s="18" t="s">
        <v>455</v>
      </c>
      <c r="R370" s="2">
        <v>44915</v>
      </c>
      <c r="S370" s="2">
        <v>46734</v>
      </c>
      <c r="T370" s="2">
        <v>46734</v>
      </c>
      <c r="U370" s="38" t="s">
        <v>422</v>
      </c>
      <c r="V370" s="2">
        <f t="shared" si="31"/>
        <v>46734</v>
      </c>
      <c r="W370" t="str">
        <f t="shared" si="32"/>
        <v>EC</v>
      </c>
      <c r="X370" s="35" t="str">
        <f t="shared" si="30"/>
        <v>CME</v>
      </c>
    </row>
    <row r="371" spans="17:24" x14ac:dyDescent="0.2">
      <c r="Q371" s="18" t="s">
        <v>456</v>
      </c>
      <c r="R371" s="2">
        <v>44999</v>
      </c>
      <c r="S371" s="2">
        <v>46825</v>
      </c>
      <c r="T371" s="2">
        <v>46825</v>
      </c>
      <c r="U371" s="38" t="s">
        <v>422</v>
      </c>
      <c r="V371" s="2">
        <f t="shared" si="31"/>
        <v>46825</v>
      </c>
      <c r="W371" t="str">
        <f t="shared" si="32"/>
        <v>EC</v>
      </c>
      <c r="X371" s="35" t="str">
        <f t="shared" si="30"/>
        <v>CME</v>
      </c>
    </row>
    <row r="372" spans="17:24" x14ac:dyDescent="0.2">
      <c r="Q372" s="18" t="s">
        <v>457</v>
      </c>
      <c r="R372" s="2">
        <v>45097</v>
      </c>
      <c r="S372" s="2">
        <v>46920</v>
      </c>
      <c r="T372" s="2">
        <v>46920</v>
      </c>
      <c r="U372" s="38" t="s">
        <v>422</v>
      </c>
      <c r="V372" s="2">
        <f t="shared" si="31"/>
        <v>46920</v>
      </c>
      <c r="W372" t="str">
        <f t="shared" si="32"/>
        <v>EC</v>
      </c>
      <c r="X372" s="35" t="str">
        <f t="shared" si="30"/>
        <v>CME</v>
      </c>
    </row>
    <row r="373" spans="17:24" x14ac:dyDescent="0.2">
      <c r="Q373" s="18" t="s">
        <v>458</v>
      </c>
      <c r="R373" s="2">
        <v>45188</v>
      </c>
      <c r="S373" s="2">
        <v>47014</v>
      </c>
      <c r="T373" s="2">
        <v>47014</v>
      </c>
      <c r="U373" s="38" t="s">
        <v>422</v>
      </c>
      <c r="V373" s="2">
        <f t="shared" si="31"/>
        <v>47014</v>
      </c>
      <c r="W373" t="str">
        <f t="shared" si="32"/>
        <v>EC</v>
      </c>
      <c r="X373" s="35" t="str">
        <f t="shared" si="30"/>
        <v>CME</v>
      </c>
    </row>
    <row r="374" spans="17:24" x14ac:dyDescent="0.2">
      <c r="Q374" s="18" t="s">
        <v>459</v>
      </c>
      <c r="R374" s="2">
        <v>45279</v>
      </c>
      <c r="S374" s="2">
        <v>47105</v>
      </c>
      <c r="T374" s="2">
        <v>47105</v>
      </c>
      <c r="U374" s="38" t="s">
        <v>422</v>
      </c>
      <c r="V374" s="2">
        <f t="shared" si="31"/>
        <v>47105</v>
      </c>
      <c r="W374" t="str">
        <f t="shared" si="32"/>
        <v>EC</v>
      </c>
      <c r="X374" s="35" t="str">
        <f t="shared" si="30"/>
        <v>CME</v>
      </c>
    </row>
    <row r="375" spans="17:24" x14ac:dyDescent="0.2">
      <c r="Q375" s="18" t="s">
        <v>460</v>
      </c>
      <c r="R375" s="2">
        <v>45370</v>
      </c>
      <c r="S375" s="2">
        <v>47196</v>
      </c>
      <c r="T375" s="2">
        <v>47196</v>
      </c>
      <c r="U375" s="38" t="s">
        <v>422</v>
      </c>
      <c r="V375" s="2">
        <f t="shared" si="31"/>
        <v>47196</v>
      </c>
      <c r="W375" t="str">
        <f t="shared" si="32"/>
        <v>EC</v>
      </c>
      <c r="X375" s="35" t="str">
        <f t="shared" si="30"/>
        <v>CME</v>
      </c>
    </row>
    <row r="376" spans="17:24" x14ac:dyDescent="0.2">
      <c r="Q376" s="18" t="s">
        <v>461</v>
      </c>
      <c r="R376" s="2">
        <v>45461</v>
      </c>
      <c r="S376" s="2">
        <v>47284</v>
      </c>
      <c r="T376" s="2">
        <v>47284</v>
      </c>
      <c r="U376" s="38" t="s">
        <v>422</v>
      </c>
      <c r="V376" s="2">
        <f t="shared" si="31"/>
        <v>47284</v>
      </c>
      <c r="W376" t="str">
        <f t="shared" si="32"/>
        <v>EC</v>
      </c>
      <c r="X376" s="35" t="str">
        <f t="shared" si="30"/>
        <v>CME</v>
      </c>
    </row>
    <row r="377" spans="17:24" x14ac:dyDescent="0.2">
      <c r="Q377" s="18" t="s">
        <v>462</v>
      </c>
      <c r="R377" s="2">
        <v>45552</v>
      </c>
      <c r="S377" s="2">
        <v>47378</v>
      </c>
      <c r="T377" s="2">
        <v>47378</v>
      </c>
      <c r="U377" s="38" t="s">
        <v>422</v>
      </c>
      <c r="V377" s="2">
        <f t="shared" si="31"/>
        <v>47378</v>
      </c>
      <c r="W377" t="str">
        <f t="shared" si="32"/>
        <v>EC</v>
      </c>
      <c r="X377" s="35" t="str">
        <f t="shared" si="30"/>
        <v>CME</v>
      </c>
    </row>
    <row r="378" spans="17:24" x14ac:dyDescent="0.2">
      <c r="Q378" s="18" t="s">
        <v>463</v>
      </c>
      <c r="R378" s="2">
        <v>45643</v>
      </c>
      <c r="S378" s="2">
        <v>47469</v>
      </c>
      <c r="T378" s="2">
        <v>47469</v>
      </c>
      <c r="U378" s="38" t="s">
        <v>422</v>
      </c>
      <c r="V378" s="2">
        <f t="shared" si="31"/>
        <v>47469</v>
      </c>
      <c r="W378" t="str">
        <f t="shared" si="32"/>
        <v>EC</v>
      </c>
      <c r="X378" s="35" t="str">
        <f t="shared" si="30"/>
        <v>CME</v>
      </c>
    </row>
    <row r="379" spans="17:24" x14ac:dyDescent="0.2">
      <c r="Q379" s="18" t="s">
        <v>464</v>
      </c>
      <c r="R379" s="2">
        <v>45734</v>
      </c>
      <c r="S379" s="2">
        <v>47560</v>
      </c>
      <c r="T379" s="2">
        <v>47560</v>
      </c>
      <c r="U379" s="38" t="s">
        <v>422</v>
      </c>
      <c r="V379" s="2">
        <f t="shared" si="31"/>
        <v>47560</v>
      </c>
      <c r="W379" t="str">
        <f t="shared" si="32"/>
        <v>EC</v>
      </c>
      <c r="X379" s="35" t="str">
        <f t="shared" si="30"/>
        <v>CME</v>
      </c>
    </row>
    <row r="380" spans="17:24" x14ac:dyDescent="0.2">
      <c r="Q380" s="18" t="s">
        <v>465</v>
      </c>
      <c r="R380" s="2">
        <v>45825</v>
      </c>
      <c r="S380" s="2">
        <v>47651</v>
      </c>
      <c r="T380" s="2">
        <v>47651</v>
      </c>
      <c r="U380" s="38" t="s">
        <v>422</v>
      </c>
      <c r="V380" s="2">
        <f t="shared" si="31"/>
        <v>47651</v>
      </c>
      <c r="W380" t="str">
        <f t="shared" si="32"/>
        <v>EC</v>
      </c>
      <c r="X380" s="35" t="str">
        <f t="shared" si="30"/>
        <v>CME</v>
      </c>
    </row>
    <row r="381" spans="17:24" x14ac:dyDescent="0.2">
      <c r="Q381" s="18" t="s">
        <v>466</v>
      </c>
      <c r="R381" s="2">
        <v>45916</v>
      </c>
      <c r="S381" s="2">
        <v>47742</v>
      </c>
      <c r="T381" s="2">
        <v>47742</v>
      </c>
      <c r="U381" s="38" t="s">
        <v>422</v>
      </c>
      <c r="V381" s="2">
        <f t="shared" si="31"/>
        <v>47742</v>
      </c>
      <c r="W381" t="str">
        <f t="shared" si="32"/>
        <v>EC</v>
      </c>
      <c r="X381" s="35" t="str">
        <f t="shared" si="30"/>
        <v>CME</v>
      </c>
    </row>
    <row r="382" spans="17:24" x14ac:dyDescent="0.2">
      <c r="Q382" s="18" t="s">
        <v>467</v>
      </c>
      <c r="R382" s="2">
        <v>46007</v>
      </c>
      <c r="S382" s="2">
        <v>47833</v>
      </c>
      <c r="T382" s="2">
        <v>47833</v>
      </c>
      <c r="U382" s="38" t="s">
        <v>422</v>
      </c>
      <c r="V382" s="2">
        <f t="shared" si="31"/>
        <v>47833</v>
      </c>
      <c r="W382" t="str">
        <f t="shared" si="32"/>
        <v>EC</v>
      </c>
      <c r="X382" s="35" t="str">
        <f t="shared" si="30"/>
        <v>CME</v>
      </c>
    </row>
    <row r="383" spans="17:24" x14ac:dyDescent="0.2">
      <c r="Q383" s="18" t="s">
        <v>468</v>
      </c>
      <c r="R383" s="2">
        <v>46098</v>
      </c>
      <c r="S383" s="2">
        <v>47924</v>
      </c>
      <c r="T383" s="2">
        <v>47924</v>
      </c>
      <c r="U383" s="38" t="s">
        <v>422</v>
      </c>
      <c r="V383" s="2">
        <f t="shared" si="31"/>
        <v>47924</v>
      </c>
      <c r="W383" t="str">
        <f t="shared" si="32"/>
        <v>EC</v>
      </c>
      <c r="X383" s="35" t="str">
        <f t="shared" si="30"/>
        <v>CME</v>
      </c>
    </row>
    <row r="384" spans="17:24" x14ac:dyDescent="0.2">
      <c r="Q384" s="18" t="s">
        <v>82</v>
      </c>
      <c r="R384" s="1" t="s">
        <v>83</v>
      </c>
      <c r="S384" s="1" t="s">
        <v>84</v>
      </c>
      <c r="T384" s="1" t="s">
        <v>85</v>
      </c>
      <c r="U384" s="23" t="s">
        <v>86</v>
      </c>
      <c r="V384" s="2">
        <f t="shared" si="31"/>
        <v>0</v>
      </c>
      <c r="W384" t="str">
        <f t="shared" si="32"/>
        <v>Product C</v>
      </c>
      <c r="X384" s="35" t="str">
        <f t="shared" si="30"/>
        <v>---</v>
      </c>
    </row>
    <row r="385" spans="17:24" x14ac:dyDescent="0.2">
      <c r="Q385" s="18" t="s">
        <v>469</v>
      </c>
      <c r="R385" s="2">
        <v>46021</v>
      </c>
      <c r="S385" s="2">
        <v>46108</v>
      </c>
      <c r="T385" s="2">
        <v>46108</v>
      </c>
      <c r="U385" s="22">
        <v>46080</v>
      </c>
      <c r="V385" s="2">
        <f t="shared" si="31"/>
        <v>46080</v>
      </c>
      <c r="W385" t="str">
        <f t="shared" si="32"/>
        <v>PL</v>
      </c>
      <c r="X385" s="35" t="str">
        <f t="shared" si="30"/>
        <v>NYMEX</v>
      </c>
    </row>
    <row r="386" spans="17:24" x14ac:dyDescent="0.2">
      <c r="Q386" s="18" t="s">
        <v>470</v>
      </c>
      <c r="R386" s="2">
        <v>45124</v>
      </c>
      <c r="S386" s="2">
        <v>46140</v>
      </c>
      <c r="T386" s="2">
        <v>46140</v>
      </c>
      <c r="U386" s="22">
        <v>46112</v>
      </c>
      <c r="V386" s="2">
        <f t="shared" si="31"/>
        <v>46112</v>
      </c>
      <c r="W386" t="str">
        <f t="shared" si="32"/>
        <v>PL</v>
      </c>
      <c r="X386" s="35" t="str">
        <f t="shared" si="30"/>
        <v>NYMEX</v>
      </c>
    </row>
    <row r="387" spans="17:24" x14ac:dyDescent="0.2">
      <c r="Q387" s="18" t="s">
        <v>471</v>
      </c>
      <c r="R387" s="2">
        <v>46079</v>
      </c>
      <c r="S387" s="2">
        <v>46169</v>
      </c>
      <c r="T387" s="2">
        <v>46169</v>
      </c>
      <c r="U387" s="22">
        <v>46142</v>
      </c>
      <c r="V387" s="2">
        <f t="shared" si="31"/>
        <v>46142</v>
      </c>
      <c r="W387" t="str">
        <f t="shared" si="32"/>
        <v>PL</v>
      </c>
      <c r="X387" s="35" t="str">
        <f t="shared" ref="X387:X437" si="33">IFERROR(INDEX(AD:AD, MATCH(W387,AC:AC,0)),"---")</f>
        <v>NYMEX</v>
      </c>
    </row>
    <row r="388" spans="17:24" x14ac:dyDescent="0.2">
      <c r="Q388" s="18" t="s">
        <v>472</v>
      </c>
      <c r="R388" s="2">
        <v>46111</v>
      </c>
      <c r="S388" s="2">
        <v>46199</v>
      </c>
      <c r="T388" s="2">
        <v>46199</v>
      </c>
      <c r="U388" s="22">
        <v>46171</v>
      </c>
      <c r="V388" s="2">
        <f t="shared" ref="V388:V414" si="34">MIN(S388:U388)</f>
        <v>46171</v>
      </c>
      <c r="W388" t="str">
        <f t="shared" ref="W388:W437" si="35">MID(Q388,1,LEN(Q388)-3)</f>
        <v>PL</v>
      </c>
      <c r="X388" s="35" t="str">
        <f t="shared" si="33"/>
        <v>NYMEX</v>
      </c>
    </row>
    <row r="389" spans="17:24" x14ac:dyDescent="0.2">
      <c r="Q389" s="18" t="s">
        <v>473</v>
      </c>
      <c r="R389" s="2">
        <v>45135</v>
      </c>
      <c r="S389" s="2">
        <v>46232</v>
      </c>
      <c r="T389" s="2">
        <v>46232</v>
      </c>
      <c r="U389" s="22">
        <v>46203</v>
      </c>
      <c r="V389" s="2">
        <f t="shared" si="34"/>
        <v>46203</v>
      </c>
      <c r="W389" t="str">
        <f t="shared" si="35"/>
        <v>PL</v>
      </c>
      <c r="X389" s="35" t="str">
        <f t="shared" si="33"/>
        <v>NYMEX</v>
      </c>
    </row>
    <row r="390" spans="17:24" x14ac:dyDescent="0.2">
      <c r="Q390" s="18" t="s">
        <v>474</v>
      </c>
      <c r="R390" s="2">
        <v>45229</v>
      </c>
      <c r="S390" s="2">
        <v>46323</v>
      </c>
      <c r="T390" s="2">
        <v>46323</v>
      </c>
      <c r="U390" s="22">
        <v>46295</v>
      </c>
      <c r="V390" s="2">
        <f t="shared" si="34"/>
        <v>46295</v>
      </c>
      <c r="W390" t="str">
        <f t="shared" si="35"/>
        <v>PL</v>
      </c>
      <c r="X390" s="35" t="str">
        <f t="shared" si="33"/>
        <v>NYMEX</v>
      </c>
    </row>
    <row r="391" spans="17:24" x14ac:dyDescent="0.2">
      <c r="Q391" s="18" t="s">
        <v>475</v>
      </c>
      <c r="R391" s="2">
        <v>45321</v>
      </c>
      <c r="S391" s="2">
        <v>46414</v>
      </c>
      <c r="T391" s="2">
        <v>46414</v>
      </c>
      <c r="U391" s="22">
        <v>46387</v>
      </c>
      <c r="V391" s="2">
        <f t="shared" si="34"/>
        <v>46387</v>
      </c>
      <c r="W391" t="str">
        <f t="shared" si="35"/>
        <v>PL</v>
      </c>
      <c r="X391" s="35" t="str">
        <f t="shared" si="33"/>
        <v>NYMEX</v>
      </c>
    </row>
    <row r="392" spans="17:24" x14ac:dyDescent="0.2">
      <c r="Q392" s="18" t="s">
        <v>476</v>
      </c>
      <c r="R392" s="2">
        <v>45411</v>
      </c>
      <c r="S392" s="2">
        <v>46505</v>
      </c>
      <c r="T392" s="2">
        <v>46505</v>
      </c>
      <c r="U392" s="22">
        <v>46477</v>
      </c>
      <c r="V392" s="2">
        <f t="shared" si="34"/>
        <v>46477</v>
      </c>
      <c r="W392" t="str">
        <f t="shared" si="35"/>
        <v>PL</v>
      </c>
      <c r="X392" s="35" t="str">
        <f t="shared" si="33"/>
        <v>NYMEX</v>
      </c>
    </row>
    <row r="393" spans="17:24" x14ac:dyDescent="0.2">
      <c r="Q393" s="18" t="s">
        <v>477</v>
      </c>
      <c r="R393" s="2">
        <v>45503</v>
      </c>
      <c r="S393" s="2">
        <v>46596</v>
      </c>
      <c r="T393" s="2">
        <v>46596</v>
      </c>
      <c r="U393" s="22">
        <v>46568</v>
      </c>
      <c r="V393" s="2">
        <f t="shared" si="34"/>
        <v>46568</v>
      </c>
      <c r="W393" t="str">
        <f t="shared" si="35"/>
        <v>PL</v>
      </c>
      <c r="X393" s="35" t="str">
        <f t="shared" si="33"/>
        <v>NYMEX</v>
      </c>
    </row>
    <row r="394" spans="17:24" x14ac:dyDescent="0.2">
      <c r="Q394" s="18" t="s">
        <v>478</v>
      </c>
      <c r="R394" s="2">
        <v>45595</v>
      </c>
      <c r="S394" s="2">
        <v>46687</v>
      </c>
      <c r="T394" s="2">
        <v>46687</v>
      </c>
      <c r="U394" s="22">
        <v>46660</v>
      </c>
      <c r="V394" s="2">
        <f t="shared" si="34"/>
        <v>46660</v>
      </c>
      <c r="W394" t="str">
        <f t="shared" si="35"/>
        <v>PL</v>
      </c>
      <c r="X394" s="35" t="str">
        <f t="shared" si="33"/>
        <v>NYMEX</v>
      </c>
    </row>
    <row r="395" spans="17:24" x14ac:dyDescent="0.2">
      <c r="Q395" s="18" t="s">
        <v>479</v>
      </c>
      <c r="R395" s="2">
        <v>45687</v>
      </c>
      <c r="S395" s="2">
        <v>46779</v>
      </c>
      <c r="T395" s="2">
        <v>46779</v>
      </c>
      <c r="U395" s="22">
        <v>46752</v>
      </c>
      <c r="V395" s="2">
        <f t="shared" si="34"/>
        <v>46752</v>
      </c>
      <c r="W395" t="str">
        <f t="shared" si="35"/>
        <v>PL</v>
      </c>
      <c r="X395" s="35" t="str">
        <f t="shared" si="33"/>
        <v>NYMEX</v>
      </c>
    </row>
    <row r="396" spans="17:24" x14ac:dyDescent="0.2">
      <c r="Q396" s="18" t="s">
        <v>480</v>
      </c>
      <c r="R396" s="2">
        <v>45776</v>
      </c>
      <c r="S396" s="2">
        <v>46869</v>
      </c>
      <c r="T396" s="2">
        <v>46869</v>
      </c>
      <c r="U396" s="22">
        <v>46843</v>
      </c>
      <c r="V396" s="2">
        <f t="shared" si="34"/>
        <v>46843</v>
      </c>
      <c r="W396" t="str">
        <f t="shared" si="35"/>
        <v>PL</v>
      </c>
      <c r="X396" s="35" t="str">
        <f t="shared" si="33"/>
        <v>NYMEX</v>
      </c>
    </row>
    <row r="397" spans="17:24" x14ac:dyDescent="0.2">
      <c r="Q397" s="18" t="s">
        <v>481</v>
      </c>
      <c r="R397" s="2">
        <v>45868</v>
      </c>
      <c r="S397" s="2">
        <v>46961</v>
      </c>
      <c r="T397" s="2">
        <v>46961</v>
      </c>
      <c r="U397" s="22">
        <v>46934</v>
      </c>
      <c r="V397" s="2">
        <f t="shared" si="34"/>
        <v>46934</v>
      </c>
      <c r="W397" t="str">
        <f t="shared" si="35"/>
        <v>PL</v>
      </c>
      <c r="X397" s="35" t="str">
        <f t="shared" si="33"/>
        <v>NYMEX</v>
      </c>
    </row>
    <row r="398" spans="17:24" x14ac:dyDescent="0.2">
      <c r="Q398" s="18" t="s">
        <v>482</v>
      </c>
      <c r="R398" s="2">
        <v>45960</v>
      </c>
      <c r="S398" s="2">
        <v>47053</v>
      </c>
      <c r="T398" s="2">
        <v>47053</v>
      </c>
      <c r="U398" s="22">
        <v>47025</v>
      </c>
      <c r="V398" s="2">
        <f t="shared" si="34"/>
        <v>47025</v>
      </c>
      <c r="W398" t="str">
        <f t="shared" si="35"/>
        <v>PL</v>
      </c>
      <c r="X398" s="35" t="str">
        <f t="shared" si="33"/>
        <v>NYMEX</v>
      </c>
    </row>
    <row r="399" spans="17:24" x14ac:dyDescent="0.2">
      <c r="Q399" s="18" t="s">
        <v>483</v>
      </c>
      <c r="R399" s="2">
        <v>46051</v>
      </c>
      <c r="S399" s="2">
        <v>47147</v>
      </c>
      <c r="T399" s="2">
        <v>47147</v>
      </c>
      <c r="U399" s="22">
        <v>47116</v>
      </c>
      <c r="V399" s="2">
        <f t="shared" si="34"/>
        <v>47116</v>
      </c>
      <c r="W399" t="str">
        <f t="shared" si="35"/>
        <v>PL</v>
      </c>
      <c r="X399" s="35" t="str">
        <f t="shared" si="33"/>
        <v>NYMEX</v>
      </c>
    </row>
    <row r="400" spans="17:24" x14ac:dyDescent="0.2">
      <c r="Q400" s="18" t="s">
        <v>82</v>
      </c>
      <c r="R400" s="1" t="s">
        <v>83</v>
      </c>
      <c r="S400" s="1" t="s">
        <v>84</v>
      </c>
      <c r="T400" s="1" t="s">
        <v>85</v>
      </c>
      <c r="U400" s="23" t="s">
        <v>86</v>
      </c>
      <c r="V400" s="2">
        <f t="shared" si="34"/>
        <v>0</v>
      </c>
      <c r="W400" t="str">
        <f t="shared" si="35"/>
        <v>Product C</v>
      </c>
      <c r="X400" s="35" t="str">
        <f t="shared" si="33"/>
        <v>---</v>
      </c>
    </row>
    <row r="401" spans="17:24" x14ac:dyDescent="0.2">
      <c r="Q401" s="18" t="s">
        <v>484</v>
      </c>
      <c r="R401" s="2">
        <v>45124</v>
      </c>
      <c r="S401" s="2">
        <v>46108</v>
      </c>
      <c r="T401" s="2">
        <v>46108</v>
      </c>
      <c r="U401" s="22">
        <v>46080</v>
      </c>
      <c r="V401" s="2">
        <f t="shared" si="34"/>
        <v>46080</v>
      </c>
      <c r="W401" t="str">
        <f t="shared" si="35"/>
        <v>PA</v>
      </c>
      <c r="X401" s="35" t="str">
        <f t="shared" si="33"/>
        <v>NYMEX</v>
      </c>
    </row>
    <row r="402" spans="17:24" x14ac:dyDescent="0.2">
      <c r="Q402" s="18" t="s">
        <v>485</v>
      </c>
      <c r="R402" s="2">
        <v>46051</v>
      </c>
      <c r="S402" s="2">
        <v>46140</v>
      </c>
      <c r="T402" s="2">
        <v>46140</v>
      </c>
      <c r="U402" s="22">
        <v>46112</v>
      </c>
      <c r="V402" s="2">
        <f t="shared" si="34"/>
        <v>46112</v>
      </c>
      <c r="W402" t="str">
        <f t="shared" si="35"/>
        <v>PA</v>
      </c>
      <c r="X402" s="35" t="str">
        <f t="shared" si="33"/>
        <v>NYMEX</v>
      </c>
    </row>
    <row r="403" spans="17:24" x14ac:dyDescent="0.2">
      <c r="Q403" s="18" t="s">
        <v>486</v>
      </c>
      <c r="R403" s="2">
        <v>46079</v>
      </c>
      <c r="S403" s="2">
        <v>46169</v>
      </c>
      <c r="T403" s="2">
        <v>46169</v>
      </c>
      <c r="U403" s="22">
        <v>46142</v>
      </c>
      <c r="V403" s="2">
        <f t="shared" si="34"/>
        <v>46142</v>
      </c>
      <c r="W403" t="str">
        <f t="shared" si="35"/>
        <v>PA</v>
      </c>
      <c r="X403" s="35" t="str">
        <f t="shared" si="33"/>
        <v>NYMEX</v>
      </c>
    </row>
    <row r="404" spans="17:24" x14ac:dyDescent="0.2">
      <c r="Q404" s="18" t="s">
        <v>487</v>
      </c>
      <c r="R404" s="2">
        <v>45124</v>
      </c>
      <c r="S404" s="2">
        <v>46199</v>
      </c>
      <c r="T404" s="2">
        <v>46199</v>
      </c>
      <c r="U404" s="22">
        <v>46171</v>
      </c>
      <c r="V404" s="2">
        <f t="shared" si="34"/>
        <v>46171</v>
      </c>
      <c r="W404" t="str">
        <f t="shared" si="35"/>
        <v>PA</v>
      </c>
      <c r="X404" s="35" t="str">
        <f t="shared" si="33"/>
        <v>NYMEX</v>
      </c>
    </row>
    <row r="405" spans="17:24" x14ac:dyDescent="0.2">
      <c r="Q405" s="18" t="s">
        <v>488</v>
      </c>
      <c r="R405" s="2">
        <v>45197</v>
      </c>
      <c r="S405" s="2">
        <v>46293</v>
      </c>
      <c r="T405" s="2">
        <v>46293</v>
      </c>
      <c r="U405" s="22">
        <v>46265</v>
      </c>
      <c r="V405" s="2">
        <f t="shared" si="34"/>
        <v>46265</v>
      </c>
      <c r="W405" t="str">
        <f t="shared" si="35"/>
        <v>PA</v>
      </c>
      <c r="X405" s="35" t="str">
        <f t="shared" si="33"/>
        <v>NYMEX</v>
      </c>
    </row>
    <row r="406" spans="17:24" x14ac:dyDescent="0.2">
      <c r="Q406" s="18" t="s">
        <v>489</v>
      </c>
      <c r="R406" s="2">
        <v>45288</v>
      </c>
      <c r="S406" s="2">
        <v>46385</v>
      </c>
      <c r="T406" s="2">
        <v>46385</v>
      </c>
      <c r="U406" s="22">
        <v>46356</v>
      </c>
      <c r="V406" s="2">
        <f t="shared" si="34"/>
        <v>46356</v>
      </c>
      <c r="W406" t="str">
        <f t="shared" si="35"/>
        <v>PA</v>
      </c>
      <c r="X406" s="35" t="str">
        <f t="shared" si="33"/>
        <v>NYMEX</v>
      </c>
    </row>
    <row r="407" spans="17:24" x14ac:dyDescent="0.2">
      <c r="Q407" s="18" t="s">
        <v>490</v>
      </c>
      <c r="R407" s="2">
        <v>45378</v>
      </c>
      <c r="S407" s="2">
        <v>46475</v>
      </c>
      <c r="T407" s="2">
        <v>46475</v>
      </c>
      <c r="U407" s="22">
        <v>46444</v>
      </c>
      <c r="V407" s="2">
        <f t="shared" si="34"/>
        <v>46444</v>
      </c>
      <c r="W407" t="str">
        <f t="shared" si="35"/>
        <v>PA</v>
      </c>
      <c r="X407" s="35" t="str">
        <f t="shared" si="33"/>
        <v>NYMEX</v>
      </c>
    </row>
    <row r="408" spans="17:24" x14ac:dyDescent="0.2">
      <c r="Q408" s="18" t="s">
        <v>491</v>
      </c>
      <c r="R408" s="2">
        <v>45470</v>
      </c>
      <c r="S408" s="2">
        <v>46566</v>
      </c>
      <c r="T408" s="2">
        <v>46566</v>
      </c>
      <c r="U408" s="22">
        <v>46535</v>
      </c>
      <c r="V408" s="2">
        <f t="shared" si="34"/>
        <v>46535</v>
      </c>
      <c r="W408" t="str">
        <f t="shared" si="35"/>
        <v>PA</v>
      </c>
      <c r="X408" s="35" t="str">
        <f t="shared" si="33"/>
        <v>NYMEX</v>
      </c>
    </row>
    <row r="409" spans="17:24" x14ac:dyDescent="0.2">
      <c r="Q409" s="18" t="s">
        <v>492</v>
      </c>
      <c r="R409" s="2">
        <v>45562</v>
      </c>
      <c r="S409" s="2">
        <v>46658</v>
      </c>
      <c r="T409" s="2">
        <v>46658</v>
      </c>
      <c r="U409" s="22">
        <v>46630</v>
      </c>
      <c r="V409" s="2">
        <f t="shared" si="34"/>
        <v>46630</v>
      </c>
      <c r="W409" t="str">
        <f t="shared" si="35"/>
        <v>PA</v>
      </c>
      <c r="X409" s="35" t="str">
        <f t="shared" si="33"/>
        <v>NYMEX</v>
      </c>
    </row>
    <row r="410" spans="17:24" x14ac:dyDescent="0.2">
      <c r="Q410" s="18" t="s">
        <v>493</v>
      </c>
      <c r="R410" s="2">
        <v>45656</v>
      </c>
      <c r="S410" s="2">
        <v>46750</v>
      </c>
      <c r="T410" s="2">
        <v>46750</v>
      </c>
      <c r="U410" s="22">
        <v>46721</v>
      </c>
      <c r="V410" s="2">
        <f t="shared" si="34"/>
        <v>46721</v>
      </c>
      <c r="W410" t="str">
        <f t="shared" si="35"/>
        <v>PA</v>
      </c>
      <c r="X410" s="35" t="str">
        <f t="shared" si="33"/>
        <v>NYMEX</v>
      </c>
    </row>
    <row r="411" spans="17:24" x14ac:dyDescent="0.2">
      <c r="Q411" s="18" t="s">
        <v>494</v>
      </c>
      <c r="R411" s="2">
        <v>45744</v>
      </c>
      <c r="S411" s="2">
        <v>46841</v>
      </c>
      <c r="T411" s="2">
        <v>46841</v>
      </c>
      <c r="U411" s="22">
        <v>46812</v>
      </c>
      <c r="V411" s="2">
        <f t="shared" si="34"/>
        <v>46812</v>
      </c>
      <c r="W411" t="str">
        <f t="shared" si="35"/>
        <v>PA</v>
      </c>
      <c r="X411" s="35" t="str">
        <f t="shared" si="33"/>
        <v>NYMEX</v>
      </c>
    </row>
    <row r="412" spans="17:24" x14ac:dyDescent="0.2">
      <c r="Q412" s="18" t="s">
        <v>495</v>
      </c>
      <c r="R412" s="2">
        <v>45835</v>
      </c>
      <c r="S412" s="2">
        <v>46932</v>
      </c>
      <c r="T412" s="2">
        <v>46932</v>
      </c>
      <c r="U412" s="22">
        <v>46904</v>
      </c>
      <c r="V412" s="2">
        <f t="shared" si="34"/>
        <v>46904</v>
      </c>
      <c r="W412" t="str">
        <f t="shared" si="35"/>
        <v>PA</v>
      </c>
      <c r="X412" s="35" t="str">
        <f t="shared" si="33"/>
        <v>NYMEX</v>
      </c>
    </row>
    <row r="413" spans="17:24" x14ac:dyDescent="0.2">
      <c r="Q413" s="18" t="s">
        <v>496</v>
      </c>
      <c r="R413" s="2">
        <v>45929</v>
      </c>
      <c r="S413" s="2">
        <v>47023</v>
      </c>
      <c r="T413" s="2">
        <v>47023</v>
      </c>
      <c r="U413" s="22">
        <v>46996</v>
      </c>
      <c r="V413" s="2">
        <f t="shared" si="34"/>
        <v>46996</v>
      </c>
      <c r="W413" t="str">
        <f t="shared" si="35"/>
        <v>PA</v>
      </c>
      <c r="X413" s="35" t="str">
        <f t="shared" si="33"/>
        <v>NYMEX</v>
      </c>
    </row>
    <row r="414" spans="17:24" x14ac:dyDescent="0.2">
      <c r="Q414" s="18" t="s">
        <v>497</v>
      </c>
      <c r="R414" s="2">
        <v>46021</v>
      </c>
      <c r="S414" s="2">
        <v>47114</v>
      </c>
      <c r="T414" s="2">
        <v>47114</v>
      </c>
      <c r="U414" s="22">
        <v>47087</v>
      </c>
      <c r="V414" s="2">
        <f t="shared" si="34"/>
        <v>47087</v>
      </c>
      <c r="W414" t="str">
        <f t="shared" si="35"/>
        <v>PA</v>
      </c>
      <c r="X414" s="35" t="str">
        <f t="shared" si="33"/>
        <v>NYMEX</v>
      </c>
    </row>
    <row r="415" spans="17:24" x14ac:dyDescent="0.2">
      <c r="Q415" s="18" t="s">
        <v>498</v>
      </c>
      <c r="R415" s="2">
        <v>46111</v>
      </c>
      <c r="S415" s="2">
        <v>47204</v>
      </c>
      <c r="T415" s="2">
        <v>47204</v>
      </c>
      <c r="U415" s="22">
        <v>47177</v>
      </c>
      <c r="V415" s="2">
        <f>MIN(S415:U415)</f>
        <v>47177</v>
      </c>
      <c r="W415" t="str">
        <f t="shared" si="35"/>
        <v>PA</v>
      </c>
      <c r="X415" s="35" t="str">
        <f t="shared" si="33"/>
        <v>NYMEX</v>
      </c>
    </row>
    <row r="416" spans="17:24" x14ac:dyDescent="0.2">
      <c r="Q416" s="18" t="s">
        <v>82</v>
      </c>
      <c r="R416" s="2" t="s">
        <v>83</v>
      </c>
      <c r="S416" s="2" t="s">
        <v>84</v>
      </c>
      <c r="T416" s="2" t="s">
        <v>85</v>
      </c>
      <c r="U416" s="22" t="s">
        <v>86</v>
      </c>
      <c r="V416" s="2">
        <f t="shared" ref="V416:V437" si="36">MIN(S416:U416)</f>
        <v>0</v>
      </c>
      <c r="W416" t="str">
        <f t="shared" si="35"/>
        <v>Product C</v>
      </c>
      <c r="X416" s="35" t="str">
        <f t="shared" si="33"/>
        <v>---</v>
      </c>
    </row>
    <row r="417" spans="17:24" x14ac:dyDescent="0.2">
      <c r="Q417" s="18" t="s">
        <v>547</v>
      </c>
      <c r="R417" s="2">
        <v>45646</v>
      </c>
      <c r="S417" s="2">
        <v>46101</v>
      </c>
      <c r="T417" s="2">
        <v>46101</v>
      </c>
      <c r="U417" s="22" t="s">
        <v>422</v>
      </c>
      <c r="V417" s="2">
        <f t="shared" si="36"/>
        <v>46101</v>
      </c>
      <c r="W417" t="str">
        <f t="shared" si="35"/>
        <v>MES</v>
      </c>
      <c r="X417" s="35" t="str">
        <f t="shared" si="33"/>
        <v>CME_MINI</v>
      </c>
    </row>
    <row r="418" spans="17:24" x14ac:dyDescent="0.2">
      <c r="Q418" s="18" t="s">
        <v>548</v>
      </c>
      <c r="R418" s="2">
        <v>45737</v>
      </c>
      <c r="S418" s="2">
        <v>46191</v>
      </c>
      <c r="T418" s="2">
        <v>46191</v>
      </c>
      <c r="U418" s="22" t="s">
        <v>422</v>
      </c>
      <c r="V418" s="2">
        <f t="shared" si="36"/>
        <v>46191</v>
      </c>
      <c r="W418" t="str">
        <f t="shared" si="35"/>
        <v>MES</v>
      </c>
      <c r="X418" s="35" t="str">
        <f t="shared" si="33"/>
        <v>CME_MINI</v>
      </c>
    </row>
    <row r="419" spans="17:24" x14ac:dyDescent="0.2">
      <c r="Q419" s="18" t="s">
        <v>549</v>
      </c>
      <c r="R419" s="2">
        <v>45828</v>
      </c>
      <c r="S419" s="2">
        <v>46283</v>
      </c>
      <c r="T419" s="2">
        <v>46283</v>
      </c>
      <c r="U419" s="22" t="s">
        <v>422</v>
      </c>
      <c r="V419" s="2">
        <f t="shared" si="36"/>
        <v>46283</v>
      </c>
      <c r="W419" t="str">
        <f t="shared" si="35"/>
        <v>MES</v>
      </c>
      <c r="X419" s="35" t="str">
        <f t="shared" si="33"/>
        <v>CME_MINI</v>
      </c>
    </row>
    <row r="420" spans="17:24" x14ac:dyDescent="0.2">
      <c r="Q420" s="18" t="s">
        <v>550</v>
      </c>
      <c r="R420" s="2">
        <v>45919</v>
      </c>
      <c r="S420" s="2">
        <v>46374</v>
      </c>
      <c r="T420" s="2">
        <v>46374</v>
      </c>
      <c r="U420" s="22" t="s">
        <v>422</v>
      </c>
      <c r="V420" s="2">
        <f t="shared" si="36"/>
        <v>46374</v>
      </c>
      <c r="W420" t="str">
        <f t="shared" si="35"/>
        <v>MES</v>
      </c>
      <c r="X420" s="35" t="str">
        <f t="shared" si="33"/>
        <v>CME_MINI</v>
      </c>
    </row>
    <row r="421" spans="17:24" x14ac:dyDescent="0.2">
      <c r="Q421" s="18" t="s">
        <v>551</v>
      </c>
      <c r="R421" s="2">
        <v>46010</v>
      </c>
      <c r="S421" s="2">
        <v>46465</v>
      </c>
      <c r="T421" s="2">
        <v>46465</v>
      </c>
      <c r="U421" s="22" t="s">
        <v>422</v>
      </c>
      <c r="V421" s="2">
        <f t="shared" si="36"/>
        <v>46465</v>
      </c>
      <c r="W421" t="str">
        <f t="shared" si="35"/>
        <v>MES</v>
      </c>
      <c r="X421" s="35" t="str">
        <f t="shared" si="33"/>
        <v>CME_MINI</v>
      </c>
    </row>
    <row r="422" spans="17:24" x14ac:dyDescent="0.2">
      <c r="Q422" s="18" t="s">
        <v>552</v>
      </c>
      <c r="R422" s="2">
        <v>46101</v>
      </c>
      <c r="S422" s="2">
        <v>46555</v>
      </c>
      <c r="T422" s="2">
        <v>46555</v>
      </c>
      <c r="U422" s="22" t="s">
        <v>422</v>
      </c>
      <c r="V422" s="2">
        <f t="shared" si="36"/>
        <v>46555</v>
      </c>
      <c r="W422" t="str">
        <f t="shared" si="35"/>
        <v>MES</v>
      </c>
      <c r="X422" s="35" t="str">
        <f t="shared" si="33"/>
        <v>CME_MINI</v>
      </c>
    </row>
    <row r="423" spans="17:24" x14ac:dyDescent="0.2">
      <c r="Q423" s="18" t="s">
        <v>82</v>
      </c>
      <c r="R423" s="2" t="s">
        <v>83</v>
      </c>
      <c r="S423" s="2" t="s">
        <v>84</v>
      </c>
      <c r="T423" s="2" t="s">
        <v>85</v>
      </c>
      <c r="U423" s="22" t="s">
        <v>553</v>
      </c>
      <c r="V423" s="2">
        <f t="shared" si="36"/>
        <v>0</v>
      </c>
      <c r="W423" t="str">
        <f t="shared" si="35"/>
        <v>Product C</v>
      </c>
      <c r="X423" s="35" t="str">
        <f t="shared" si="33"/>
        <v>---</v>
      </c>
    </row>
    <row r="424" spans="17:24" x14ac:dyDescent="0.2">
      <c r="Q424" s="18" t="s">
        <v>554</v>
      </c>
      <c r="R424" s="2">
        <v>45646</v>
      </c>
      <c r="S424" s="2">
        <v>46101</v>
      </c>
      <c r="T424" s="2">
        <v>46101</v>
      </c>
      <c r="U424" s="22" t="s">
        <v>422</v>
      </c>
      <c r="V424" s="2">
        <f t="shared" si="36"/>
        <v>46101</v>
      </c>
      <c r="W424" t="str">
        <f t="shared" si="35"/>
        <v>MNQ</v>
      </c>
      <c r="X424" s="35" t="str">
        <f t="shared" si="33"/>
        <v>CME_MINI</v>
      </c>
    </row>
    <row r="425" spans="17:24" x14ac:dyDescent="0.2">
      <c r="Q425" s="18" t="s">
        <v>555</v>
      </c>
      <c r="R425" s="2">
        <v>45737</v>
      </c>
      <c r="S425" s="2">
        <v>46191</v>
      </c>
      <c r="T425" s="2">
        <v>46191</v>
      </c>
      <c r="U425" s="22" t="s">
        <v>422</v>
      </c>
      <c r="V425" s="2">
        <f t="shared" si="36"/>
        <v>46191</v>
      </c>
      <c r="W425" t="str">
        <f t="shared" si="35"/>
        <v>MNQ</v>
      </c>
      <c r="X425" s="35" t="str">
        <f t="shared" si="33"/>
        <v>CME_MINI</v>
      </c>
    </row>
    <row r="426" spans="17:24" x14ac:dyDescent="0.2">
      <c r="Q426" s="18" t="s">
        <v>556</v>
      </c>
      <c r="R426" s="2">
        <v>45828</v>
      </c>
      <c r="S426" s="2">
        <v>46283</v>
      </c>
      <c r="T426" s="2">
        <v>46283</v>
      </c>
      <c r="U426" s="22" t="s">
        <v>422</v>
      </c>
      <c r="V426" s="2">
        <f t="shared" si="36"/>
        <v>46283</v>
      </c>
      <c r="W426" t="str">
        <f t="shared" si="35"/>
        <v>MNQ</v>
      </c>
      <c r="X426" s="35" t="str">
        <f t="shared" si="33"/>
        <v>CME_MINI</v>
      </c>
    </row>
    <row r="427" spans="17:24" x14ac:dyDescent="0.2">
      <c r="Q427" s="18" t="s">
        <v>557</v>
      </c>
      <c r="R427" s="2">
        <v>45919</v>
      </c>
      <c r="S427" s="2">
        <v>46374</v>
      </c>
      <c r="T427" s="2">
        <v>46374</v>
      </c>
      <c r="U427" s="22" t="s">
        <v>422</v>
      </c>
      <c r="V427" s="2">
        <f t="shared" si="36"/>
        <v>46374</v>
      </c>
      <c r="W427" t="str">
        <f t="shared" si="35"/>
        <v>MNQ</v>
      </c>
      <c r="X427" s="35" t="str">
        <f t="shared" si="33"/>
        <v>CME_MINI</v>
      </c>
    </row>
    <row r="428" spans="17:24" x14ac:dyDescent="0.2">
      <c r="Q428" s="18" t="s">
        <v>558</v>
      </c>
      <c r="R428" s="2">
        <v>46010</v>
      </c>
      <c r="S428" s="2">
        <v>46465</v>
      </c>
      <c r="T428" s="2">
        <v>46465</v>
      </c>
      <c r="U428" s="22" t="s">
        <v>422</v>
      </c>
      <c r="V428" s="2">
        <f t="shared" si="36"/>
        <v>46465</v>
      </c>
      <c r="W428" t="str">
        <f t="shared" si="35"/>
        <v>MNQ</v>
      </c>
      <c r="X428" s="35" t="str">
        <f t="shared" si="33"/>
        <v>CME_MINI</v>
      </c>
    </row>
    <row r="429" spans="17:24" x14ac:dyDescent="0.2">
      <c r="Q429" s="18" t="s">
        <v>559</v>
      </c>
      <c r="R429" s="2">
        <v>46101</v>
      </c>
      <c r="S429" s="2">
        <v>46555</v>
      </c>
      <c r="T429" s="2">
        <v>46555</v>
      </c>
      <c r="U429" s="22" t="s">
        <v>422</v>
      </c>
      <c r="V429" s="2">
        <f t="shared" si="36"/>
        <v>46555</v>
      </c>
      <c r="W429" t="str">
        <f t="shared" si="35"/>
        <v>MNQ</v>
      </c>
      <c r="X429" s="35" t="str">
        <f t="shared" si="33"/>
        <v>CME_MINI</v>
      </c>
    </row>
    <row r="430" spans="17:24" x14ac:dyDescent="0.2">
      <c r="Q430" s="18" t="s">
        <v>82</v>
      </c>
      <c r="R430" s="2" t="s">
        <v>83</v>
      </c>
      <c r="S430" s="2" t="s">
        <v>84</v>
      </c>
      <c r="T430" s="2" t="s">
        <v>85</v>
      </c>
      <c r="U430" s="22" t="s">
        <v>553</v>
      </c>
      <c r="V430" s="2">
        <f t="shared" si="36"/>
        <v>0</v>
      </c>
      <c r="W430" t="str">
        <f t="shared" si="35"/>
        <v>Product C</v>
      </c>
      <c r="X430" s="35" t="str">
        <f t="shared" si="33"/>
        <v>---</v>
      </c>
    </row>
    <row r="431" spans="17:24" x14ac:dyDescent="0.2">
      <c r="Q431" s="18" t="s">
        <v>560</v>
      </c>
      <c r="R431" s="2">
        <v>44970</v>
      </c>
      <c r="S431" s="2">
        <v>46097</v>
      </c>
      <c r="T431" s="2">
        <v>46097</v>
      </c>
      <c r="U431" s="22" t="s">
        <v>422</v>
      </c>
      <c r="V431" s="2">
        <f t="shared" si="36"/>
        <v>46097</v>
      </c>
      <c r="W431" t="str">
        <f t="shared" si="35"/>
        <v>CNH</v>
      </c>
      <c r="X431" s="35" t="str">
        <f t="shared" si="33"/>
        <v>CME</v>
      </c>
    </row>
    <row r="432" spans="17:24" x14ac:dyDescent="0.2">
      <c r="Q432" s="18" t="s">
        <v>561</v>
      </c>
      <c r="R432" s="2">
        <v>45061</v>
      </c>
      <c r="S432" s="2">
        <v>46188</v>
      </c>
      <c r="T432" s="2">
        <v>46188</v>
      </c>
      <c r="U432" s="22" t="s">
        <v>422</v>
      </c>
      <c r="V432" s="2">
        <f t="shared" si="36"/>
        <v>46188</v>
      </c>
      <c r="W432" t="str">
        <f t="shared" si="35"/>
        <v>CNH</v>
      </c>
      <c r="X432" s="35" t="str">
        <f t="shared" si="33"/>
        <v>CME</v>
      </c>
    </row>
    <row r="433" spans="17:24" x14ac:dyDescent="0.2">
      <c r="Q433" s="18" t="s">
        <v>562</v>
      </c>
      <c r="R433" s="2">
        <v>45152</v>
      </c>
      <c r="S433" s="2">
        <v>46279</v>
      </c>
      <c r="T433" s="2">
        <v>46279</v>
      </c>
      <c r="U433" s="22" t="s">
        <v>422</v>
      </c>
      <c r="V433" s="2">
        <f t="shared" si="36"/>
        <v>46279</v>
      </c>
      <c r="W433" t="str">
        <f t="shared" si="35"/>
        <v>CNH</v>
      </c>
      <c r="X433" s="35" t="str">
        <f t="shared" si="33"/>
        <v>CME</v>
      </c>
    </row>
    <row r="434" spans="17:24" x14ac:dyDescent="0.2">
      <c r="Q434" s="18" t="s">
        <v>563</v>
      </c>
      <c r="R434" s="2">
        <v>45243</v>
      </c>
      <c r="S434" s="2">
        <v>46370</v>
      </c>
      <c r="T434" s="2">
        <v>46370</v>
      </c>
      <c r="U434" s="22" t="s">
        <v>422</v>
      </c>
      <c r="V434" s="2">
        <f t="shared" si="36"/>
        <v>46370</v>
      </c>
      <c r="W434" t="str">
        <f t="shared" si="35"/>
        <v>CNH</v>
      </c>
      <c r="X434" s="35" t="str">
        <f t="shared" si="33"/>
        <v>CME</v>
      </c>
    </row>
    <row r="435" spans="17:24" x14ac:dyDescent="0.2">
      <c r="Q435" s="18" t="s">
        <v>564</v>
      </c>
      <c r="R435" s="2">
        <v>45338</v>
      </c>
      <c r="S435" s="2">
        <v>46461</v>
      </c>
      <c r="T435" s="2">
        <v>46461</v>
      </c>
      <c r="U435" s="22" t="s">
        <v>422</v>
      </c>
      <c r="V435" s="2">
        <f t="shared" si="36"/>
        <v>46461</v>
      </c>
      <c r="W435" t="str">
        <f t="shared" si="35"/>
        <v>CNH</v>
      </c>
      <c r="X435" s="35" t="str">
        <f t="shared" si="33"/>
        <v>CME</v>
      </c>
    </row>
    <row r="436" spans="17:24" x14ac:dyDescent="0.2">
      <c r="Q436" s="18" t="s">
        <v>565</v>
      </c>
      <c r="R436" s="2">
        <v>45425</v>
      </c>
      <c r="S436" s="2">
        <v>46552</v>
      </c>
      <c r="T436" s="2">
        <v>46552</v>
      </c>
      <c r="U436" s="22" t="s">
        <v>422</v>
      </c>
      <c r="V436" s="2">
        <f t="shared" si="36"/>
        <v>46552</v>
      </c>
      <c r="W436" t="str">
        <f t="shared" si="35"/>
        <v>CNH</v>
      </c>
      <c r="X436" s="35" t="str">
        <f t="shared" si="33"/>
        <v>CME</v>
      </c>
    </row>
    <row r="437" spans="17:24" x14ac:dyDescent="0.2">
      <c r="Q437" s="18" t="s">
        <v>566</v>
      </c>
      <c r="R437" s="2">
        <v>45523</v>
      </c>
      <c r="S437" s="2">
        <v>46643</v>
      </c>
      <c r="T437" s="2">
        <v>46643</v>
      </c>
      <c r="U437" s="22" t="s">
        <v>422</v>
      </c>
      <c r="V437" s="2">
        <f t="shared" si="36"/>
        <v>46643</v>
      </c>
      <c r="W437" t="str">
        <f t="shared" si="35"/>
        <v>CNH</v>
      </c>
      <c r="X437" s="35" t="str">
        <f t="shared" si="33"/>
        <v>CME</v>
      </c>
    </row>
  </sheetData>
  <autoFilter ref="Q2:W415" xr:uid="{DF12E983-9A03-4C87-9EEC-C93537213DFF}"/>
  <mergeCells count="9">
    <mergeCell ref="Q1:U1"/>
    <mergeCell ref="V1:X1"/>
    <mergeCell ref="AC1:AD1"/>
    <mergeCell ref="A1:C1"/>
    <mergeCell ref="D1:E1"/>
    <mergeCell ref="F1:G1"/>
    <mergeCell ref="H1:I1"/>
    <mergeCell ref="J1:K1"/>
    <mergeCell ref="L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E03C-4491-448C-8EB3-77D124443EA7}">
  <sheetPr codeName="Лист2"/>
  <dimension ref="A1:F94"/>
  <sheetViews>
    <sheetView zoomScale="85" zoomScaleNormal="85" workbookViewId="0">
      <selection activeCell="D3" sqref="D3"/>
    </sheetView>
  </sheetViews>
  <sheetFormatPr baseColWidth="10" defaultColWidth="8.83203125" defaultRowHeight="15" x14ac:dyDescent="0.2"/>
  <cols>
    <col min="1" max="1" width="16.1640625" bestFit="1" customWidth="1"/>
    <col min="2" max="2" width="13.33203125" style="40" customWidth="1"/>
    <col min="3" max="3" width="13" customWidth="1"/>
    <col min="4" max="4" width="13.5" style="40" customWidth="1"/>
    <col min="5" max="5" width="14.83203125" customWidth="1"/>
    <col min="6" max="6" width="12.6640625" bestFit="1" customWidth="1"/>
  </cols>
  <sheetData>
    <row r="1" spans="1:6" ht="16" thickBot="1" x14ac:dyDescent="0.25">
      <c r="A1" s="46" t="s">
        <v>539</v>
      </c>
      <c r="B1" s="48" t="s">
        <v>541</v>
      </c>
      <c r="C1" s="47" t="s">
        <v>590</v>
      </c>
      <c r="D1" s="49" t="s">
        <v>591</v>
      </c>
      <c r="E1" s="50" t="s">
        <v>592</v>
      </c>
      <c r="F1" t="s">
        <v>651</v>
      </c>
    </row>
    <row r="2" spans="1:6" ht="16" thickTop="1" x14ac:dyDescent="0.2">
      <c r="A2" t="s">
        <v>593</v>
      </c>
      <c r="B2" s="40">
        <v>46113</v>
      </c>
      <c r="C2" t="s">
        <v>241</v>
      </c>
      <c r="D2" s="40">
        <v>46112</v>
      </c>
    </row>
    <row r="3" spans="1:6" x14ac:dyDescent="0.2">
      <c r="A3" t="s">
        <v>594</v>
      </c>
      <c r="B3" s="40">
        <v>46146</v>
      </c>
      <c r="C3" t="s">
        <v>242</v>
      </c>
      <c r="D3" s="40">
        <v>46142</v>
      </c>
    </row>
    <row r="4" spans="1:6" x14ac:dyDescent="0.2">
      <c r="A4" t="s">
        <v>595</v>
      </c>
      <c r="B4" s="40">
        <v>46174</v>
      </c>
      <c r="C4" t="s">
        <v>243</v>
      </c>
      <c r="D4" s="40">
        <v>46171</v>
      </c>
    </row>
    <row r="5" spans="1:6" x14ac:dyDescent="0.2">
      <c r="A5" t="s">
        <v>596</v>
      </c>
      <c r="B5" s="40">
        <v>46204</v>
      </c>
      <c r="C5" t="s">
        <v>244</v>
      </c>
      <c r="D5" s="40">
        <v>46203</v>
      </c>
    </row>
    <row r="6" spans="1:6" x14ac:dyDescent="0.2">
      <c r="A6" t="s">
        <v>597</v>
      </c>
      <c r="B6" s="40">
        <v>46237</v>
      </c>
      <c r="C6" t="s">
        <v>245</v>
      </c>
      <c r="D6" s="40">
        <v>46234</v>
      </c>
    </row>
    <row r="7" spans="1:6" x14ac:dyDescent="0.2">
      <c r="A7" t="s">
        <v>598</v>
      </c>
      <c r="B7" s="40">
        <v>46265</v>
      </c>
      <c r="C7" t="s">
        <v>246</v>
      </c>
      <c r="D7" s="40">
        <v>46262</v>
      </c>
    </row>
    <row r="8" spans="1:6" x14ac:dyDescent="0.2">
      <c r="A8" t="s">
        <v>599</v>
      </c>
      <c r="B8" s="40">
        <v>46296</v>
      </c>
      <c r="C8" t="s">
        <v>247</v>
      </c>
      <c r="D8" s="40">
        <v>46295</v>
      </c>
    </row>
    <row r="9" spans="1:6" x14ac:dyDescent="0.2">
      <c r="A9" t="s">
        <v>600</v>
      </c>
      <c r="B9" s="40">
        <v>46108</v>
      </c>
      <c r="C9" t="s">
        <v>432</v>
      </c>
      <c r="D9" s="40">
        <v>46108</v>
      </c>
    </row>
    <row r="10" spans="1:6" x14ac:dyDescent="0.2">
      <c r="A10" t="s">
        <v>601</v>
      </c>
      <c r="B10" s="40">
        <v>46136</v>
      </c>
      <c r="C10" t="s">
        <v>433</v>
      </c>
      <c r="D10" s="40">
        <v>46136</v>
      </c>
    </row>
    <row r="11" spans="1:6" x14ac:dyDescent="0.2">
      <c r="A11" t="s">
        <v>602</v>
      </c>
      <c r="B11" s="40">
        <v>46171</v>
      </c>
      <c r="C11" t="s">
        <v>434</v>
      </c>
      <c r="D11" s="40">
        <v>46171</v>
      </c>
    </row>
    <row r="12" spans="1:6" x14ac:dyDescent="0.2">
      <c r="A12" t="s">
        <v>603</v>
      </c>
      <c r="B12" s="40">
        <v>46100</v>
      </c>
      <c r="C12" t="s">
        <v>444</v>
      </c>
      <c r="D12" s="40">
        <v>46097</v>
      </c>
    </row>
    <row r="13" spans="1:6" x14ac:dyDescent="0.2">
      <c r="A13" t="s">
        <v>604</v>
      </c>
      <c r="B13" s="40">
        <v>46191</v>
      </c>
      <c r="C13" t="s">
        <v>444</v>
      </c>
      <c r="D13" s="40">
        <v>46097</v>
      </c>
    </row>
    <row r="14" spans="1:6" x14ac:dyDescent="0.2">
      <c r="C14" t="s">
        <v>445</v>
      </c>
      <c r="D14" s="40">
        <v>46125</v>
      </c>
    </row>
    <row r="15" spans="1:6" x14ac:dyDescent="0.2">
      <c r="C15" t="s">
        <v>446</v>
      </c>
      <c r="D15" s="40">
        <v>46160</v>
      </c>
    </row>
    <row r="16" spans="1:6" x14ac:dyDescent="0.2">
      <c r="C16" t="s">
        <v>447</v>
      </c>
      <c r="D16" s="40">
        <v>46188</v>
      </c>
    </row>
    <row r="17" spans="1:4" x14ac:dyDescent="0.2">
      <c r="A17" t="s">
        <v>605</v>
      </c>
      <c r="B17" s="40">
        <v>46282</v>
      </c>
      <c r="C17" t="s">
        <v>447</v>
      </c>
      <c r="D17" s="40">
        <v>46188</v>
      </c>
    </row>
    <row r="18" spans="1:4" x14ac:dyDescent="0.2">
      <c r="C18" t="s">
        <v>448</v>
      </c>
      <c r="D18" s="40">
        <v>46216</v>
      </c>
    </row>
    <row r="19" spans="1:4" x14ac:dyDescent="0.2">
      <c r="C19" t="s">
        <v>449</v>
      </c>
      <c r="D19" s="40">
        <v>46251</v>
      </c>
    </row>
    <row r="20" spans="1:4" x14ac:dyDescent="0.2">
      <c r="C20" t="s">
        <v>450</v>
      </c>
      <c r="D20" s="40">
        <v>46279</v>
      </c>
    </row>
    <row r="21" spans="1:4" x14ac:dyDescent="0.2">
      <c r="A21" t="s">
        <v>606</v>
      </c>
      <c r="B21" s="40">
        <v>46373</v>
      </c>
      <c r="C21" t="s">
        <v>450</v>
      </c>
      <c r="D21" s="40">
        <v>46279</v>
      </c>
    </row>
    <row r="22" spans="1:4" x14ac:dyDescent="0.2">
      <c r="C22" t="s">
        <v>451</v>
      </c>
      <c r="D22" s="40">
        <v>46370</v>
      </c>
    </row>
    <row r="23" spans="1:4" x14ac:dyDescent="0.2">
      <c r="A23" t="s">
        <v>607</v>
      </c>
      <c r="B23" s="40">
        <v>46101</v>
      </c>
      <c r="C23" t="s">
        <v>422</v>
      </c>
      <c r="D23" s="40" t="s">
        <v>422</v>
      </c>
    </row>
    <row r="24" spans="1:4" x14ac:dyDescent="0.2">
      <c r="A24" t="s">
        <v>608</v>
      </c>
      <c r="B24" s="40">
        <v>46192</v>
      </c>
      <c r="C24" t="s">
        <v>342</v>
      </c>
      <c r="D24" s="40">
        <v>46112</v>
      </c>
    </row>
    <row r="25" spans="1:4" x14ac:dyDescent="0.2">
      <c r="C25" t="s">
        <v>343</v>
      </c>
      <c r="D25" s="40">
        <v>46142</v>
      </c>
    </row>
    <row r="26" spans="1:4" x14ac:dyDescent="0.2">
      <c r="C26" t="s">
        <v>344</v>
      </c>
      <c r="D26" s="40">
        <v>46171</v>
      </c>
    </row>
    <row r="27" spans="1:4" x14ac:dyDescent="0.2">
      <c r="A27" t="s">
        <v>609</v>
      </c>
      <c r="B27" s="40">
        <v>46283</v>
      </c>
      <c r="C27" t="s">
        <v>345</v>
      </c>
      <c r="D27" s="40">
        <v>46203</v>
      </c>
    </row>
    <row r="28" spans="1:4" x14ac:dyDescent="0.2">
      <c r="C28" t="s">
        <v>346</v>
      </c>
      <c r="D28" s="40">
        <v>46234</v>
      </c>
    </row>
    <row r="29" spans="1:4" x14ac:dyDescent="0.2">
      <c r="C29" t="s">
        <v>347</v>
      </c>
      <c r="D29" s="40">
        <v>46265</v>
      </c>
    </row>
    <row r="30" spans="1:4" x14ac:dyDescent="0.2">
      <c r="A30" t="s">
        <v>610</v>
      </c>
      <c r="B30" s="40">
        <v>46374</v>
      </c>
      <c r="C30" t="s">
        <v>348</v>
      </c>
      <c r="D30" s="40">
        <v>46295</v>
      </c>
    </row>
    <row r="31" spans="1:4" x14ac:dyDescent="0.2">
      <c r="C31" t="s">
        <v>349</v>
      </c>
      <c r="D31" s="40">
        <v>46325</v>
      </c>
    </row>
    <row r="32" spans="1:4" x14ac:dyDescent="0.2">
      <c r="C32" t="s">
        <v>350</v>
      </c>
      <c r="D32" s="40">
        <v>46356</v>
      </c>
    </row>
    <row r="33" spans="1:4" x14ac:dyDescent="0.2">
      <c r="A33" t="s">
        <v>611</v>
      </c>
      <c r="B33" s="40">
        <v>46108</v>
      </c>
      <c r="C33" t="s">
        <v>87</v>
      </c>
      <c r="D33" s="40">
        <v>46108</v>
      </c>
    </row>
    <row r="34" spans="1:4" x14ac:dyDescent="0.2">
      <c r="A34" t="s">
        <v>612</v>
      </c>
      <c r="B34" s="40">
        <v>46140</v>
      </c>
      <c r="C34" t="s">
        <v>88</v>
      </c>
      <c r="D34" s="40">
        <v>46140</v>
      </c>
    </row>
    <row r="35" spans="1:4" x14ac:dyDescent="0.2">
      <c r="A35" t="s">
        <v>613</v>
      </c>
      <c r="B35" s="40">
        <v>46169</v>
      </c>
      <c r="C35" t="s">
        <v>89</v>
      </c>
      <c r="D35" s="40">
        <v>46169</v>
      </c>
    </row>
    <row r="36" spans="1:4" x14ac:dyDescent="0.2">
      <c r="A36" t="s">
        <v>614</v>
      </c>
      <c r="B36" s="40">
        <v>46199</v>
      </c>
      <c r="C36" t="s">
        <v>90</v>
      </c>
      <c r="D36" s="40">
        <v>46199</v>
      </c>
    </row>
    <row r="37" spans="1:4" x14ac:dyDescent="0.2">
      <c r="A37" t="s">
        <v>615</v>
      </c>
      <c r="B37" s="40">
        <v>46232</v>
      </c>
      <c r="C37" t="s">
        <v>91</v>
      </c>
      <c r="D37" s="40">
        <v>46232</v>
      </c>
    </row>
    <row r="38" spans="1:4" x14ac:dyDescent="0.2">
      <c r="A38" t="s">
        <v>616</v>
      </c>
      <c r="B38" s="40">
        <v>46261</v>
      </c>
      <c r="C38" t="s">
        <v>92</v>
      </c>
      <c r="D38" s="40">
        <v>46261</v>
      </c>
    </row>
    <row r="39" spans="1:4" x14ac:dyDescent="0.2">
      <c r="A39" t="s">
        <v>617</v>
      </c>
      <c r="B39" s="40">
        <v>46293</v>
      </c>
      <c r="C39" t="s">
        <v>93</v>
      </c>
      <c r="D39" s="40">
        <v>46293</v>
      </c>
    </row>
    <row r="40" spans="1:4" x14ac:dyDescent="0.2">
      <c r="A40" t="s">
        <v>618</v>
      </c>
      <c r="B40" s="40">
        <v>46101</v>
      </c>
      <c r="C40" t="s">
        <v>422</v>
      </c>
      <c r="D40" s="40" t="s">
        <v>422</v>
      </c>
    </row>
    <row r="41" spans="1:4" x14ac:dyDescent="0.2">
      <c r="A41" t="s">
        <v>619</v>
      </c>
      <c r="B41" s="40">
        <v>46192</v>
      </c>
      <c r="C41" t="s">
        <v>485</v>
      </c>
      <c r="D41" s="40">
        <v>46112</v>
      </c>
    </row>
    <row r="42" spans="1:4" x14ac:dyDescent="0.2">
      <c r="C42" t="s">
        <v>486</v>
      </c>
      <c r="D42" s="40">
        <v>46142</v>
      </c>
    </row>
    <row r="43" spans="1:4" x14ac:dyDescent="0.2">
      <c r="C43" t="s">
        <v>487</v>
      </c>
      <c r="D43" s="40">
        <v>46171</v>
      </c>
    </row>
    <row r="44" spans="1:4" x14ac:dyDescent="0.2">
      <c r="A44" t="s">
        <v>620</v>
      </c>
      <c r="B44" s="40">
        <v>46283</v>
      </c>
      <c r="C44" t="s">
        <v>488</v>
      </c>
      <c r="D44" s="40">
        <v>46265</v>
      </c>
    </row>
    <row r="45" spans="1:4" x14ac:dyDescent="0.2">
      <c r="A45" t="s">
        <v>621</v>
      </c>
      <c r="B45" s="40">
        <v>46374</v>
      </c>
      <c r="C45" t="s">
        <v>489</v>
      </c>
      <c r="D45" s="40">
        <v>46356</v>
      </c>
    </row>
    <row r="46" spans="1:4" x14ac:dyDescent="0.2">
      <c r="A46" t="s">
        <v>622</v>
      </c>
      <c r="B46" s="40">
        <v>46101</v>
      </c>
      <c r="C46" t="s">
        <v>422</v>
      </c>
      <c r="D46" s="40" t="s">
        <v>422</v>
      </c>
    </row>
    <row r="47" spans="1:4" x14ac:dyDescent="0.2">
      <c r="A47" t="s">
        <v>623</v>
      </c>
      <c r="B47" s="40">
        <v>46192</v>
      </c>
      <c r="C47" t="s">
        <v>470</v>
      </c>
      <c r="D47" s="40">
        <v>46112</v>
      </c>
    </row>
    <row r="48" spans="1:4" x14ac:dyDescent="0.2">
      <c r="C48" t="s">
        <v>471</v>
      </c>
      <c r="D48" s="40">
        <v>46142</v>
      </c>
    </row>
    <row r="49" spans="1:4" x14ac:dyDescent="0.2">
      <c r="C49" t="s">
        <v>472</v>
      </c>
      <c r="D49" s="40">
        <v>46171</v>
      </c>
    </row>
    <row r="50" spans="1:4" x14ac:dyDescent="0.2">
      <c r="A50" t="s">
        <v>624</v>
      </c>
      <c r="B50" s="40">
        <v>46283</v>
      </c>
      <c r="C50" t="s">
        <v>473</v>
      </c>
      <c r="D50" s="40">
        <v>46203</v>
      </c>
    </row>
    <row r="51" spans="1:4" x14ac:dyDescent="0.2">
      <c r="A51" t="s">
        <v>625</v>
      </c>
      <c r="B51" s="40">
        <v>46374</v>
      </c>
      <c r="C51" t="s">
        <v>474</v>
      </c>
      <c r="D51" s="40">
        <v>46295</v>
      </c>
    </row>
    <row r="52" spans="1:4" x14ac:dyDescent="0.2">
      <c r="A52" t="s">
        <v>626</v>
      </c>
      <c r="B52" s="40">
        <v>46101</v>
      </c>
      <c r="C52" t="s">
        <v>422</v>
      </c>
      <c r="D52" s="40" t="s">
        <v>422</v>
      </c>
    </row>
    <row r="53" spans="1:4" x14ac:dyDescent="0.2">
      <c r="A53" t="s">
        <v>627</v>
      </c>
      <c r="B53" s="40">
        <v>46192</v>
      </c>
      <c r="C53" t="s">
        <v>389</v>
      </c>
      <c r="D53" s="40">
        <v>46112</v>
      </c>
    </row>
    <row r="54" spans="1:4" x14ac:dyDescent="0.2">
      <c r="C54" t="s">
        <v>390</v>
      </c>
      <c r="D54" s="40">
        <v>46142</v>
      </c>
    </row>
    <row r="55" spans="1:4" x14ac:dyDescent="0.2">
      <c r="C55" t="s">
        <v>391</v>
      </c>
      <c r="D55" s="40">
        <v>46171</v>
      </c>
    </row>
    <row r="56" spans="1:4" x14ac:dyDescent="0.2">
      <c r="A56" t="s">
        <v>628</v>
      </c>
      <c r="B56" s="40">
        <v>46283</v>
      </c>
      <c r="C56" t="s">
        <v>392</v>
      </c>
      <c r="D56" s="40">
        <v>46203</v>
      </c>
    </row>
    <row r="57" spans="1:4" x14ac:dyDescent="0.2">
      <c r="C57" t="s">
        <v>393</v>
      </c>
      <c r="D57" s="40">
        <v>46234</v>
      </c>
    </row>
    <row r="58" spans="1:4" x14ac:dyDescent="0.2">
      <c r="C58" t="s">
        <v>394</v>
      </c>
      <c r="D58" s="40">
        <v>46265</v>
      </c>
    </row>
    <row r="59" spans="1:4" x14ac:dyDescent="0.2">
      <c r="A59" t="s">
        <v>629</v>
      </c>
      <c r="B59" s="40">
        <v>46374</v>
      </c>
      <c r="C59" t="s">
        <v>395</v>
      </c>
      <c r="D59" s="40">
        <v>46295</v>
      </c>
    </row>
    <row r="60" spans="1:4" x14ac:dyDescent="0.2">
      <c r="C60" t="s">
        <v>396</v>
      </c>
      <c r="D60" s="40">
        <v>46325</v>
      </c>
    </row>
    <row r="61" spans="1:4" x14ac:dyDescent="0.2">
      <c r="C61" t="s">
        <v>397</v>
      </c>
      <c r="D61" s="40">
        <v>46356</v>
      </c>
    </row>
    <row r="62" spans="1:4" x14ac:dyDescent="0.2">
      <c r="A62" t="s">
        <v>630</v>
      </c>
      <c r="B62" s="40">
        <v>46101</v>
      </c>
      <c r="C62" t="s">
        <v>422</v>
      </c>
      <c r="D62" s="40" t="s">
        <v>422</v>
      </c>
    </row>
    <row r="63" spans="1:4" x14ac:dyDescent="0.2">
      <c r="A63" t="s">
        <v>631</v>
      </c>
      <c r="B63" s="40">
        <v>46192</v>
      </c>
      <c r="C63" t="s">
        <v>376</v>
      </c>
      <c r="D63" s="40">
        <v>46112</v>
      </c>
    </row>
    <row r="64" spans="1:4" x14ac:dyDescent="0.2">
      <c r="C64" t="s">
        <v>377</v>
      </c>
      <c r="D64" s="40">
        <v>46171</v>
      </c>
    </row>
    <row r="65" spans="1:4" x14ac:dyDescent="0.2">
      <c r="A65" t="s">
        <v>632</v>
      </c>
      <c r="B65" s="40">
        <v>46283</v>
      </c>
      <c r="C65" t="s">
        <v>378</v>
      </c>
      <c r="D65" s="40">
        <v>46234</v>
      </c>
    </row>
    <row r="66" spans="1:4" x14ac:dyDescent="0.2">
      <c r="A66" t="s">
        <v>633</v>
      </c>
      <c r="B66" s="40">
        <v>46374</v>
      </c>
      <c r="C66" t="s">
        <v>379</v>
      </c>
      <c r="D66" s="40">
        <v>46295</v>
      </c>
    </row>
    <row r="67" spans="1:4" x14ac:dyDescent="0.2">
      <c r="C67" t="s">
        <v>380</v>
      </c>
      <c r="D67" s="40">
        <v>46356</v>
      </c>
    </row>
    <row r="68" spans="1:4" x14ac:dyDescent="0.2">
      <c r="A68" t="s">
        <v>634</v>
      </c>
      <c r="B68" s="40">
        <v>46101</v>
      </c>
      <c r="C68" t="s">
        <v>422</v>
      </c>
      <c r="D68" s="40" t="s">
        <v>422</v>
      </c>
    </row>
    <row r="69" spans="1:4" x14ac:dyDescent="0.2">
      <c r="A69" t="s">
        <v>635</v>
      </c>
      <c r="B69" s="40">
        <v>46192</v>
      </c>
      <c r="C69" t="s">
        <v>424</v>
      </c>
      <c r="D69" s="40">
        <v>46112</v>
      </c>
    </row>
    <row r="70" spans="1:4" x14ac:dyDescent="0.2">
      <c r="C70" t="s">
        <v>425</v>
      </c>
      <c r="D70" s="40">
        <v>46142</v>
      </c>
    </row>
    <row r="71" spans="1:4" x14ac:dyDescent="0.2">
      <c r="C71" t="s">
        <v>426</v>
      </c>
      <c r="D71" s="40">
        <v>46171</v>
      </c>
    </row>
    <row r="72" spans="1:4" x14ac:dyDescent="0.2">
      <c r="A72" t="s">
        <v>636</v>
      </c>
      <c r="B72" s="40">
        <v>46283</v>
      </c>
      <c r="C72" t="s">
        <v>427</v>
      </c>
      <c r="D72" s="40">
        <v>46203</v>
      </c>
    </row>
    <row r="73" spans="1:4" x14ac:dyDescent="0.2">
      <c r="C73" t="s">
        <v>428</v>
      </c>
      <c r="D73" s="40">
        <v>46265</v>
      </c>
    </row>
    <row r="74" spans="1:4" x14ac:dyDescent="0.2">
      <c r="A74" t="s">
        <v>637</v>
      </c>
      <c r="B74" s="40">
        <v>46100</v>
      </c>
      <c r="C74" t="s">
        <v>560</v>
      </c>
      <c r="D74" s="40">
        <v>46097</v>
      </c>
    </row>
    <row r="75" spans="1:4" x14ac:dyDescent="0.2">
      <c r="A75" t="s">
        <v>638</v>
      </c>
      <c r="B75" s="40">
        <v>46191</v>
      </c>
      <c r="C75" t="s">
        <v>560</v>
      </c>
      <c r="D75" s="40">
        <v>46097</v>
      </c>
    </row>
    <row r="76" spans="1:4" x14ac:dyDescent="0.2">
      <c r="C76" t="s">
        <v>561</v>
      </c>
      <c r="D76" s="40">
        <v>46188</v>
      </c>
    </row>
    <row r="77" spans="1:4" x14ac:dyDescent="0.2">
      <c r="A77" t="s">
        <v>639</v>
      </c>
      <c r="B77" s="40">
        <v>46282</v>
      </c>
      <c r="C77" t="s">
        <v>561</v>
      </c>
      <c r="D77" s="40">
        <v>46188</v>
      </c>
    </row>
    <row r="78" spans="1:4" x14ac:dyDescent="0.2">
      <c r="C78" t="s">
        <v>562</v>
      </c>
      <c r="D78" s="40">
        <v>46279</v>
      </c>
    </row>
    <row r="79" spans="1:4" x14ac:dyDescent="0.2">
      <c r="A79" t="s">
        <v>640</v>
      </c>
      <c r="B79" s="40">
        <v>46373</v>
      </c>
      <c r="C79" t="s">
        <v>562</v>
      </c>
      <c r="D79" s="40">
        <v>46279</v>
      </c>
    </row>
    <row r="80" spans="1:4" x14ac:dyDescent="0.2">
      <c r="C80" t="s">
        <v>563</v>
      </c>
      <c r="D80" s="40">
        <v>46370</v>
      </c>
    </row>
    <row r="81" spans="1:4" x14ac:dyDescent="0.2">
      <c r="A81" t="s">
        <v>641</v>
      </c>
      <c r="B81" s="40">
        <v>46101</v>
      </c>
      <c r="C81" t="s">
        <v>554</v>
      </c>
      <c r="D81" s="40">
        <v>46101</v>
      </c>
    </row>
    <row r="82" spans="1:4" x14ac:dyDescent="0.2">
      <c r="A82" t="s">
        <v>642</v>
      </c>
      <c r="B82" s="40">
        <v>46192</v>
      </c>
      <c r="C82" t="s">
        <v>554</v>
      </c>
      <c r="D82" s="40">
        <v>46101</v>
      </c>
    </row>
    <row r="83" spans="1:4" x14ac:dyDescent="0.2">
      <c r="C83" t="s">
        <v>555</v>
      </c>
      <c r="D83" s="40">
        <v>46191</v>
      </c>
    </row>
    <row r="84" spans="1:4" x14ac:dyDescent="0.2">
      <c r="A84" t="s">
        <v>643</v>
      </c>
      <c r="B84" s="40">
        <v>46283</v>
      </c>
      <c r="C84" t="s">
        <v>555</v>
      </c>
      <c r="D84" s="40">
        <v>46191</v>
      </c>
    </row>
    <row r="85" spans="1:4" x14ac:dyDescent="0.2">
      <c r="C85" t="s">
        <v>556</v>
      </c>
      <c r="D85" s="40">
        <v>46283</v>
      </c>
    </row>
    <row r="86" spans="1:4" x14ac:dyDescent="0.2">
      <c r="A86" t="s">
        <v>644</v>
      </c>
      <c r="B86" s="40">
        <v>46374</v>
      </c>
      <c r="C86" t="s">
        <v>556</v>
      </c>
      <c r="D86" s="40">
        <v>46283</v>
      </c>
    </row>
    <row r="87" spans="1:4" x14ac:dyDescent="0.2">
      <c r="C87" t="s">
        <v>557</v>
      </c>
      <c r="D87" s="40">
        <v>46374</v>
      </c>
    </row>
    <row r="88" spans="1:4" x14ac:dyDescent="0.2">
      <c r="A88" t="s">
        <v>645</v>
      </c>
      <c r="B88" s="40">
        <v>46101</v>
      </c>
      <c r="C88" t="s">
        <v>547</v>
      </c>
      <c r="D88" s="40">
        <v>46101</v>
      </c>
    </row>
    <row r="89" spans="1:4" x14ac:dyDescent="0.2">
      <c r="A89" t="s">
        <v>646</v>
      </c>
      <c r="B89" s="40">
        <v>46192</v>
      </c>
      <c r="C89" t="s">
        <v>547</v>
      </c>
      <c r="D89" s="40">
        <v>46101</v>
      </c>
    </row>
    <row r="90" spans="1:4" x14ac:dyDescent="0.2">
      <c r="C90" t="s">
        <v>548</v>
      </c>
      <c r="D90" s="40">
        <v>46191</v>
      </c>
    </row>
    <row r="91" spans="1:4" x14ac:dyDescent="0.2">
      <c r="A91" t="s">
        <v>647</v>
      </c>
      <c r="B91" s="40">
        <v>46283</v>
      </c>
      <c r="C91" t="s">
        <v>548</v>
      </c>
      <c r="D91" s="40">
        <v>46191</v>
      </c>
    </row>
    <row r="92" spans="1:4" x14ac:dyDescent="0.2">
      <c r="C92" t="s">
        <v>549</v>
      </c>
      <c r="D92" s="40">
        <v>46283</v>
      </c>
    </row>
    <row r="93" spans="1:4" x14ac:dyDescent="0.2">
      <c r="A93" t="s">
        <v>648</v>
      </c>
      <c r="B93" s="40">
        <v>46374</v>
      </c>
      <c r="C93" t="s">
        <v>549</v>
      </c>
      <c r="D93" s="40">
        <v>46283</v>
      </c>
    </row>
    <row r="94" spans="1:4" x14ac:dyDescent="0.2">
      <c r="C94" t="s">
        <v>550</v>
      </c>
      <c r="D94" s="40">
        <v>46374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E983-9A03-4C87-9EEC-C93537213DFF}">
  <sheetPr codeName="Лист3"/>
  <dimension ref="A2:AC415"/>
  <sheetViews>
    <sheetView zoomScale="70" zoomScaleNormal="70" workbookViewId="0">
      <selection activeCell="G30" sqref="G30"/>
    </sheetView>
  </sheetViews>
  <sheetFormatPr baseColWidth="10" defaultColWidth="8.83203125" defaultRowHeight="15" x14ac:dyDescent="0.2"/>
  <cols>
    <col min="1" max="1" width="16.33203125" style="1" bestFit="1" customWidth="1"/>
    <col min="2" max="2" width="17" style="1" bestFit="1" customWidth="1"/>
    <col min="3" max="3" width="12" style="1" customWidth="1"/>
    <col min="4" max="4" width="11.6640625" style="1" bestFit="1" customWidth="1"/>
    <col min="5" max="5" width="10.5" style="1" bestFit="1" customWidth="1"/>
    <col min="6" max="6" width="34.6640625" style="13" bestFit="1" customWidth="1"/>
    <col min="7" max="7" width="17.33203125" style="2" bestFit="1" customWidth="1"/>
    <col min="8" max="8" width="11" style="1" bestFit="1" customWidth="1"/>
    <col min="9" max="9" width="10.1640625" style="1" bestFit="1" customWidth="1"/>
    <col min="10" max="10" width="12.5" style="1" bestFit="1" customWidth="1"/>
    <col min="11" max="11" width="10.1640625" style="2" bestFit="1" customWidth="1"/>
    <col min="12" max="12" width="8.5" style="1" bestFit="1" customWidth="1"/>
    <col min="13" max="13" width="8" style="1" bestFit="1" customWidth="1"/>
    <col min="14" max="14" width="8.83203125" customWidth="1"/>
    <col min="16" max="16" width="18.33203125" style="1" bestFit="1" customWidth="1"/>
    <col min="17" max="17" width="15.83203125" style="1" bestFit="1" customWidth="1"/>
    <col min="18" max="18" width="15.6640625" style="1" bestFit="1" customWidth="1"/>
    <col min="19" max="19" width="16.5" style="1" bestFit="1" customWidth="1"/>
    <col min="20" max="20" width="10.6640625" style="1" bestFit="1" customWidth="1"/>
    <col min="21" max="21" width="15.33203125" style="1" bestFit="1" customWidth="1"/>
    <col min="22" max="22" width="13.6640625" bestFit="1" customWidth="1"/>
    <col min="23" max="23" width="10.6640625" customWidth="1"/>
  </cols>
  <sheetData>
    <row r="2" spans="1:29" x14ac:dyDescent="0.2">
      <c r="A2" s="8" t="s">
        <v>525</v>
      </c>
      <c r="B2" s="8" t="s">
        <v>527</v>
      </c>
      <c r="C2" s="8" t="s">
        <v>528</v>
      </c>
      <c r="D2" s="3" t="s">
        <v>520</v>
      </c>
      <c r="E2" s="14" t="s">
        <v>521</v>
      </c>
      <c r="F2" s="12" t="s">
        <v>522</v>
      </c>
      <c r="G2" s="9" t="s">
        <v>519</v>
      </c>
      <c r="H2" s="3" t="s">
        <v>523</v>
      </c>
      <c r="I2" s="3" t="s">
        <v>524</v>
      </c>
      <c r="J2" s="3" t="s">
        <v>526</v>
      </c>
      <c r="K2" s="9" t="s">
        <v>529</v>
      </c>
      <c r="L2" s="3" t="s">
        <v>513</v>
      </c>
      <c r="M2" s="3" t="s">
        <v>530</v>
      </c>
      <c r="N2" s="4"/>
      <c r="O2" s="4"/>
      <c r="P2" s="8" t="s">
        <v>82</v>
      </c>
      <c r="Q2" s="15" t="s">
        <v>83</v>
      </c>
      <c r="R2" s="16" t="s">
        <v>84</v>
      </c>
      <c r="S2" s="8" t="s">
        <v>85</v>
      </c>
      <c r="T2" s="8" t="s">
        <v>337</v>
      </c>
      <c r="U2" s="3" t="s">
        <v>421</v>
      </c>
      <c r="V2" s="4" t="s">
        <v>521</v>
      </c>
      <c r="W2" s="4" t="s">
        <v>499</v>
      </c>
      <c r="Y2" t="s">
        <v>338</v>
      </c>
      <c r="AB2" s="4" t="s">
        <v>336</v>
      </c>
      <c r="AC2" t="s">
        <v>499</v>
      </c>
    </row>
    <row r="3" spans="1:29" x14ac:dyDescent="0.2">
      <c r="A3" s="1" t="s">
        <v>16</v>
      </c>
      <c r="B3" s="1" t="s">
        <v>17</v>
      </c>
      <c r="C3" s="2">
        <v>46113</v>
      </c>
      <c r="D3" s="1" t="str">
        <f t="shared" ref="D3:D50" si="0">MID(A3,1,SEARCH("-",A3,1)-1)</f>
        <v>BR</v>
      </c>
      <c r="E3" s="1" t="s">
        <v>500</v>
      </c>
      <c r="F3" s="13" t="str">
        <f t="shared" ref="F3:F50" si="1">"RUS:"&amp;MID(B3,1,LEN(B3)-1)&amp;"20"&amp;RIGHT(A3,2)&amp;"-"&amp;INDEX(W:W, MATCH(J3,P:P,0))&amp;":"&amp;MID(J3,1,LEN(J3)-2)&amp;"20"&amp;RIGHT(J3,2)</f>
        <v>RUS:BRJ2026-NYMEX:BZK2026</v>
      </c>
      <c r="G3" s="2">
        <f t="shared" ref="G3:G50" si="2">MIN(C3,K3)</f>
        <v>46112</v>
      </c>
      <c r="H3" s="1" t="str">
        <f t="shared" ref="H3:H50" si="3">A3</f>
        <v>BR-4.26</v>
      </c>
      <c r="I3" s="1" t="str">
        <f>J3</f>
        <v>BZK26</v>
      </c>
      <c r="J3" s="1" t="str" cm="1">
        <f t="array" ref="J3">INDEX(P:P,MATCH(1, (V:V=E3)*(U:U&gt;=C3-L3)*(U:U&lt;=C3+L3), 0))</f>
        <v>BZK26</v>
      </c>
      <c r="K3" s="2">
        <f t="shared" ref="K3:K50" si="4">INDEX(U:U, MATCH(J3,P:P,0))</f>
        <v>46112</v>
      </c>
      <c r="L3" s="1">
        <v>10</v>
      </c>
      <c r="M3" s="1">
        <f t="shared" ref="M3:M50" si="5">K3-C3</f>
        <v>-1</v>
      </c>
      <c r="P3" s="1" t="s">
        <v>87</v>
      </c>
      <c r="Q3" s="2">
        <v>41605</v>
      </c>
      <c r="R3" s="2">
        <v>46108</v>
      </c>
      <c r="S3" s="2">
        <v>46108</v>
      </c>
      <c r="T3" s="5" t="s">
        <v>422</v>
      </c>
      <c r="U3" s="2">
        <f>MIN(R3:T3)</f>
        <v>46108</v>
      </c>
      <c r="V3" t="str">
        <f>MID(P3,1,LEN(P3)-3)</f>
        <v>NG</v>
      </c>
      <c r="W3" t="str">
        <f t="shared" ref="W3:W66" si="6">IFERROR(INDEX(AC:AC, MATCH(V3,AB:AB,0)),"---")</f>
        <v>NYMEX</v>
      </c>
      <c r="AB3" t="s">
        <v>500</v>
      </c>
      <c r="AC3" t="s">
        <v>514</v>
      </c>
    </row>
    <row r="4" spans="1:29" x14ac:dyDescent="0.2">
      <c r="A4" s="1" t="s">
        <v>22</v>
      </c>
      <c r="B4" s="1" t="s">
        <v>23</v>
      </c>
      <c r="C4" s="2">
        <v>46146</v>
      </c>
      <c r="D4" s="1" t="str">
        <f t="shared" si="0"/>
        <v>BR</v>
      </c>
      <c r="E4" s="1" t="s">
        <v>500</v>
      </c>
      <c r="F4" s="13" t="str">
        <f t="shared" si="1"/>
        <v>RUS:BRK2026-NYMEX:BZM2026</v>
      </c>
      <c r="G4" s="2">
        <f t="shared" si="2"/>
        <v>46142</v>
      </c>
      <c r="H4" s="1" t="str">
        <f t="shared" si="3"/>
        <v>BR-5.26</v>
      </c>
      <c r="I4" s="1" t="str">
        <f t="shared" ref="I4:I50" si="7">J4</f>
        <v>BZM26</v>
      </c>
      <c r="J4" s="1" t="str" cm="1">
        <f t="array" ref="J4">INDEX(P:P,MATCH(1, (V:V=E4)*(U:U&gt;=C4-L4)*(U:U&lt;=C4+L4), 0))</f>
        <v>BZM26</v>
      </c>
      <c r="K4" s="2">
        <f t="shared" si="4"/>
        <v>46142</v>
      </c>
      <c r="L4" s="1">
        <v>10</v>
      </c>
      <c r="M4" s="1">
        <f t="shared" si="5"/>
        <v>-4</v>
      </c>
      <c r="P4" s="1" t="s">
        <v>88</v>
      </c>
      <c r="Q4" s="2">
        <v>41605</v>
      </c>
      <c r="R4" s="2">
        <v>46140</v>
      </c>
      <c r="S4" s="2">
        <v>46140</v>
      </c>
      <c r="T4" s="5" t="s">
        <v>422</v>
      </c>
      <c r="U4" s="2">
        <f t="shared" ref="U4:U67" si="8">MIN(R4:T4)</f>
        <v>46140</v>
      </c>
      <c r="V4" t="str">
        <f t="shared" ref="V4:V67" si="9">MID(P4,1,LEN(P4)-3)</f>
        <v>NG</v>
      </c>
      <c r="W4" t="str">
        <f t="shared" si="6"/>
        <v>NYMEX</v>
      </c>
      <c r="Y4" t="s">
        <v>339</v>
      </c>
      <c r="AB4" t="s">
        <v>501</v>
      </c>
      <c r="AC4" t="s">
        <v>515</v>
      </c>
    </row>
    <row r="5" spans="1:29" x14ac:dyDescent="0.2">
      <c r="A5" s="1" t="s">
        <v>28</v>
      </c>
      <c r="B5" s="1" t="s">
        <v>29</v>
      </c>
      <c r="C5" s="2">
        <v>46174</v>
      </c>
      <c r="D5" s="1" t="str">
        <f t="shared" si="0"/>
        <v>BR</v>
      </c>
      <c r="E5" s="1" t="s">
        <v>500</v>
      </c>
      <c r="F5" s="13" t="str">
        <f t="shared" si="1"/>
        <v>RUS:BRM2026-NYMEX:BZN2026</v>
      </c>
      <c r="G5" s="2">
        <f t="shared" si="2"/>
        <v>46171</v>
      </c>
      <c r="H5" s="1" t="str">
        <f t="shared" si="3"/>
        <v>BR-6.26</v>
      </c>
      <c r="I5" s="1" t="str">
        <f t="shared" si="7"/>
        <v>BZN26</v>
      </c>
      <c r="J5" s="1" t="str" cm="1">
        <f t="array" ref="J5">INDEX(P:P,MATCH(1, (V:V=E5)*(U:U&gt;=C5-L5)*(U:U&lt;=C5+L5), 0))</f>
        <v>BZN26</v>
      </c>
      <c r="K5" s="2">
        <f t="shared" si="4"/>
        <v>46171</v>
      </c>
      <c r="L5" s="1">
        <v>10</v>
      </c>
      <c r="M5" s="1">
        <f t="shared" si="5"/>
        <v>-3</v>
      </c>
      <c r="P5" s="1" t="s">
        <v>89</v>
      </c>
      <c r="Q5" s="2">
        <v>41605</v>
      </c>
      <c r="R5" s="2">
        <v>46169</v>
      </c>
      <c r="S5" s="2">
        <v>46169</v>
      </c>
      <c r="T5" s="5" t="s">
        <v>422</v>
      </c>
      <c r="U5" s="2">
        <f t="shared" si="8"/>
        <v>46169</v>
      </c>
      <c r="V5" t="str">
        <f t="shared" si="9"/>
        <v>NG</v>
      </c>
      <c r="W5" t="str">
        <f t="shared" si="6"/>
        <v>NYMEX</v>
      </c>
      <c r="Y5" t="s">
        <v>340</v>
      </c>
      <c r="AB5" t="s">
        <v>502</v>
      </c>
      <c r="AC5" t="s">
        <v>515</v>
      </c>
    </row>
    <row r="6" spans="1:29" x14ac:dyDescent="0.2">
      <c r="A6" s="1" t="s">
        <v>44</v>
      </c>
      <c r="B6" s="1" t="s">
        <v>45</v>
      </c>
      <c r="C6" s="2">
        <v>46204</v>
      </c>
      <c r="D6" s="1" t="str">
        <f t="shared" si="0"/>
        <v>BR</v>
      </c>
      <c r="E6" s="1" t="s">
        <v>500</v>
      </c>
      <c r="F6" s="13" t="str">
        <f t="shared" si="1"/>
        <v>RUS:BRN2026-NYMEX:BZQ2026</v>
      </c>
      <c r="G6" s="2">
        <f t="shared" si="2"/>
        <v>46203</v>
      </c>
      <c r="H6" s="1" t="str">
        <f t="shared" si="3"/>
        <v>BR-7.26</v>
      </c>
      <c r="I6" s="1" t="str">
        <f t="shared" si="7"/>
        <v>BZQ26</v>
      </c>
      <c r="J6" s="1" t="str" cm="1">
        <f t="array" ref="J6">INDEX(P:P,MATCH(1, (V:V=E6)*(U:U&gt;=C6-L6)*(U:U&lt;=C6+L6), 0))</f>
        <v>BZQ26</v>
      </c>
      <c r="K6" s="2">
        <f t="shared" si="4"/>
        <v>46203</v>
      </c>
      <c r="L6" s="1">
        <v>10</v>
      </c>
      <c r="M6" s="1">
        <f t="shared" si="5"/>
        <v>-1</v>
      </c>
      <c r="P6" s="1" t="s">
        <v>90</v>
      </c>
      <c r="Q6" s="2">
        <v>41605</v>
      </c>
      <c r="R6" s="2">
        <v>46199</v>
      </c>
      <c r="S6" s="2">
        <v>46199</v>
      </c>
      <c r="T6" s="5" t="s">
        <v>422</v>
      </c>
      <c r="U6" s="2">
        <f t="shared" si="8"/>
        <v>46199</v>
      </c>
      <c r="V6" t="str">
        <f t="shared" si="9"/>
        <v>NG</v>
      </c>
      <c r="W6" t="str">
        <f t="shared" si="6"/>
        <v>NYMEX</v>
      </c>
      <c r="Y6" t="s">
        <v>503</v>
      </c>
      <c r="AB6" t="s">
        <v>505</v>
      </c>
      <c r="AC6" t="s">
        <v>516</v>
      </c>
    </row>
    <row r="7" spans="1:29" x14ac:dyDescent="0.2">
      <c r="A7" s="1" t="s">
        <v>48</v>
      </c>
      <c r="B7" s="1" t="s">
        <v>49</v>
      </c>
      <c r="C7" s="2">
        <v>46237</v>
      </c>
      <c r="D7" s="1" t="str">
        <f t="shared" si="0"/>
        <v>BR</v>
      </c>
      <c r="E7" s="1" t="s">
        <v>500</v>
      </c>
      <c r="F7" s="13" t="str">
        <f t="shared" si="1"/>
        <v>RUS:BRQ2026-NYMEX:BZU2026</v>
      </c>
      <c r="G7" s="2">
        <f t="shared" si="2"/>
        <v>46234</v>
      </c>
      <c r="H7" s="1" t="str">
        <f t="shared" si="3"/>
        <v>BR-8.26</v>
      </c>
      <c r="I7" s="1" t="str">
        <f t="shared" si="7"/>
        <v>BZU26</v>
      </c>
      <c r="J7" s="1" t="str" cm="1">
        <f t="array" ref="J7">INDEX(P:P,MATCH(1, (V:V=E7)*(U:U&gt;=C7-L7)*(U:U&lt;=C7+L7), 0))</f>
        <v>BZU26</v>
      </c>
      <c r="K7" s="2">
        <f t="shared" si="4"/>
        <v>46234</v>
      </c>
      <c r="L7" s="1">
        <v>10</v>
      </c>
      <c r="M7" s="1">
        <f t="shared" si="5"/>
        <v>-3</v>
      </c>
      <c r="P7" s="1" t="s">
        <v>91</v>
      </c>
      <c r="Q7" s="2">
        <v>41605</v>
      </c>
      <c r="R7" s="2">
        <v>46232</v>
      </c>
      <c r="S7" s="2">
        <v>46232</v>
      </c>
      <c r="T7" s="5" t="s">
        <v>422</v>
      </c>
      <c r="U7" s="2">
        <f t="shared" si="8"/>
        <v>46232</v>
      </c>
      <c r="V7" t="str">
        <f t="shared" si="9"/>
        <v>NG</v>
      </c>
      <c r="W7" t="str">
        <f t="shared" si="6"/>
        <v>NYMEX</v>
      </c>
      <c r="AB7" t="s">
        <v>506</v>
      </c>
      <c r="AC7" t="s">
        <v>514</v>
      </c>
    </row>
    <row r="8" spans="1:29" x14ac:dyDescent="0.2">
      <c r="A8" s="1" t="s">
        <v>52</v>
      </c>
      <c r="B8" s="1" t="s">
        <v>53</v>
      </c>
      <c r="C8" s="2">
        <v>46265</v>
      </c>
      <c r="D8" s="1" t="str">
        <f t="shared" si="0"/>
        <v>BR</v>
      </c>
      <c r="E8" s="1" t="s">
        <v>500</v>
      </c>
      <c r="F8" s="13" t="str">
        <f t="shared" si="1"/>
        <v>RUS:BRU2026-NYMEX:BZV2026</v>
      </c>
      <c r="G8" s="2">
        <f t="shared" si="2"/>
        <v>46262</v>
      </c>
      <c r="H8" s="1" t="str">
        <f t="shared" si="3"/>
        <v>BR-9.26</v>
      </c>
      <c r="I8" s="1" t="str">
        <f t="shared" si="7"/>
        <v>BZV26</v>
      </c>
      <c r="J8" s="1" t="str" cm="1">
        <f t="array" ref="J8">INDEX(P:P,MATCH(1, (V:V=E8)*(U:U&gt;=C8-L8)*(U:U&lt;=C8+L8), 0))</f>
        <v>BZV26</v>
      </c>
      <c r="K8" s="2">
        <f t="shared" si="4"/>
        <v>46262</v>
      </c>
      <c r="L8" s="1">
        <v>10</v>
      </c>
      <c r="M8" s="1">
        <f t="shared" si="5"/>
        <v>-3</v>
      </c>
      <c r="P8" s="1" t="s">
        <v>92</v>
      </c>
      <c r="Q8" s="2">
        <v>41605</v>
      </c>
      <c r="R8" s="2">
        <v>46261</v>
      </c>
      <c r="S8" s="2">
        <v>46261</v>
      </c>
      <c r="T8" s="5" t="s">
        <v>422</v>
      </c>
      <c r="U8" s="2">
        <f t="shared" si="8"/>
        <v>46261</v>
      </c>
      <c r="V8" t="str">
        <f t="shared" si="9"/>
        <v>NG</v>
      </c>
      <c r="W8" t="str">
        <f t="shared" si="6"/>
        <v>NYMEX</v>
      </c>
      <c r="Y8" t="s">
        <v>504</v>
      </c>
      <c r="AB8" t="s">
        <v>507</v>
      </c>
      <c r="AC8" t="s">
        <v>514</v>
      </c>
    </row>
    <row r="9" spans="1:29" x14ac:dyDescent="0.2">
      <c r="A9" s="1" t="s">
        <v>68</v>
      </c>
      <c r="B9" s="1" t="s">
        <v>69</v>
      </c>
      <c r="C9" s="2">
        <v>46296</v>
      </c>
      <c r="D9" s="1" t="str">
        <f t="shared" si="0"/>
        <v>BR</v>
      </c>
      <c r="E9" s="1" t="s">
        <v>500</v>
      </c>
      <c r="F9" s="13" t="str">
        <f t="shared" si="1"/>
        <v>RUS:BRV2026-NYMEX:BZX2026</v>
      </c>
      <c r="G9" s="2">
        <f t="shared" si="2"/>
        <v>46295</v>
      </c>
      <c r="H9" s="1" t="str">
        <f t="shared" si="3"/>
        <v>BR-10.26</v>
      </c>
      <c r="I9" s="1" t="str">
        <f t="shared" si="7"/>
        <v>BZX26</v>
      </c>
      <c r="J9" s="1" t="str" cm="1">
        <f t="array" ref="J9">INDEX(P:P,MATCH(1, (V:V=E9)*(U:U&gt;=C9-L9)*(U:U&lt;=C9+L9), 0))</f>
        <v>BZX26</v>
      </c>
      <c r="K9" s="2">
        <f t="shared" si="4"/>
        <v>46295</v>
      </c>
      <c r="L9" s="1">
        <v>10</v>
      </c>
      <c r="M9" s="1">
        <f t="shared" si="5"/>
        <v>-1</v>
      </c>
      <c r="P9" s="1" t="s">
        <v>93</v>
      </c>
      <c r="Q9" s="2">
        <v>41605</v>
      </c>
      <c r="R9" s="2">
        <v>46293</v>
      </c>
      <c r="S9" s="2">
        <v>46293</v>
      </c>
      <c r="T9" s="5" t="s">
        <v>422</v>
      </c>
      <c r="U9" s="2">
        <f t="shared" si="8"/>
        <v>46293</v>
      </c>
      <c r="V9" t="str">
        <f t="shared" si="9"/>
        <v>NG</v>
      </c>
      <c r="W9" t="str">
        <f t="shared" si="6"/>
        <v>NYMEX</v>
      </c>
      <c r="AB9" t="s">
        <v>509</v>
      </c>
      <c r="AC9" t="s">
        <v>514</v>
      </c>
    </row>
    <row r="10" spans="1:29" x14ac:dyDescent="0.2">
      <c r="A10" s="1" t="s">
        <v>14</v>
      </c>
      <c r="B10" s="1" t="s">
        <v>15</v>
      </c>
      <c r="C10" s="2">
        <v>46108</v>
      </c>
      <c r="D10" s="1" t="str">
        <f t="shared" si="0"/>
        <v>BTC</v>
      </c>
      <c r="E10" s="1" t="s">
        <v>501</v>
      </c>
      <c r="F10" s="13" t="str">
        <f t="shared" si="1"/>
        <v>RUS:BTH2026-CME:MBTH2026</v>
      </c>
      <c r="G10" s="2">
        <f t="shared" si="2"/>
        <v>46108</v>
      </c>
      <c r="H10" s="1" t="str">
        <f t="shared" si="3"/>
        <v>BTC-3.26</v>
      </c>
      <c r="I10" s="1" t="str">
        <f t="shared" si="7"/>
        <v>MBTH26</v>
      </c>
      <c r="J10" s="1" t="str" cm="1">
        <f t="array" ref="J10">INDEX(P:P,MATCH(1, (V:V=E10)*(U:U&gt;=C10-L10)*(U:U&lt;=C10+L10), 0))</f>
        <v>MBTH26</v>
      </c>
      <c r="K10" s="2">
        <f t="shared" si="4"/>
        <v>46108</v>
      </c>
      <c r="L10" s="1">
        <v>10</v>
      </c>
      <c r="M10" s="1">
        <f t="shared" si="5"/>
        <v>0</v>
      </c>
      <c r="P10" s="1" t="s">
        <v>94</v>
      </c>
      <c r="Q10" s="2">
        <v>41605</v>
      </c>
      <c r="R10" s="2">
        <v>46323</v>
      </c>
      <c r="S10" s="2">
        <v>46323</v>
      </c>
      <c r="T10" s="5" t="s">
        <v>422</v>
      </c>
      <c r="U10" s="2">
        <f t="shared" si="8"/>
        <v>46323</v>
      </c>
      <c r="V10" t="str">
        <f t="shared" si="9"/>
        <v>NG</v>
      </c>
      <c r="W10" t="str">
        <f t="shared" si="6"/>
        <v>NYMEX</v>
      </c>
      <c r="AB10" t="s">
        <v>508</v>
      </c>
      <c r="AC10" t="s">
        <v>516</v>
      </c>
    </row>
    <row r="11" spans="1:29" x14ac:dyDescent="0.2">
      <c r="A11" s="1" t="s">
        <v>18</v>
      </c>
      <c r="B11" s="1" t="s">
        <v>19</v>
      </c>
      <c r="C11" s="2">
        <v>46136</v>
      </c>
      <c r="D11" s="1" t="str">
        <f t="shared" si="0"/>
        <v>BTC</v>
      </c>
      <c r="E11" s="1" t="s">
        <v>501</v>
      </c>
      <c r="F11" s="13" t="str">
        <f t="shared" si="1"/>
        <v>RUS:BTJ2026-CME:MBTJ2026</v>
      </c>
      <c r="G11" s="2">
        <f t="shared" si="2"/>
        <v>46136</v>
      </c>
      <c r="H11" s="1" t="str">
        <f t="shared" si="3"/>
        <v>BTC-4.26</v>
      </c>
      <c r="I11" s="1" t="str">
        <f t="shared" si="7"/>
        <v>MBTJ26</v>
      </c>
      <c r="J11" s="1" t="str" cm="1">
        <f t="array" ref="J11">INDEX(P:P,MATCH(1, (V:V=E11)*(U:U&gt;=C11-L11)*(U:U&lt;=C11+L11), 0))</f>
        <v>MBTJ26</v>
      </c>
      <c r="K11" s="2">
        <f t="shared" si="4"/>
        <v>46136</v>
      </c>
      <c r="L11" s="1">
        <v>10</v>
      </c>
      <c r="M11" s="1">
        <f t="shared" si="5"/>
        <v>0</v>
      </c>
      <c r="P11" s="1" t="s">
        <v>95</v>
      </c>
      <c r="Q11" s="2">
        <v>41605</v>
      </c>
      <c r="R11" s="2">
        <v>46351</v>
      </c>
      <c r="S11" s="2">
        <v>46351</v>
      </c>
      <c r="T11" s="5" t="s">
        <v>422</v>
      </c>
      <c r="U11" s="2">
        <f t="shared" si="8"/>
        <v>46351</v>
      </c>
      <c r="V11" t="str">
        <f t="shared" si="9"/>
        <v>NG</v>
      </c>
      <c r="W11" t="str">
        <f t="shared" si="6"/>
        <v>NYMEX</v>
      </c>
      <c r="Y11" t="s">
        <v>512</v>
      </c>
      <c r="AB11" t="s">
        <v>510</v>
      </c>
      <c r="AC11" t="s">
        <v>517</v>
      </c>
    </row>
    <row r="12" spans="1:29" x14ac:dyDescent="0.2">
      <c r="A12" s="1" t="s">
        <v>26</v>
      </c>
      <c r="B12" s="1" t="s">
        <v>27</v>
      </c>
      <c r="C12" s="2">
        <v>46171</v>
      </c>
      <c r="D12" s="1" t="str">
        <f t="shared" si="0"/>
        <v>BTC</v>
      </c>
      <c r="E12" s="1" t="s">
        <v>501</v>
      </c>
      <c r="F12" s="13" t="str">
        <f t="shared" si="1"/>
        <v>RUS:BTK2026-CME:MBTK2026</v>
      </c>
      <c r="G12" s="2">
        <f t="shared" si="2"/>
        <v>46171</v>
      </c>
      <c r="H12" s="1" t="str">
        <f t="shared" si="3"/>
        <v>BTC-5.26</v>
      </c>
      <c r="I12" s="1" t="str">
        <f t="shared" si="7"/>
        <v>MBTK26</v>
      </c>
      <c r="J12" s="1" t="str" cm="1">
        <f t="array" ref="J12">INDEX(P:P,MATCH(1, (V:V=E12)*(U:U&gt;=C12-L12)*(U:U&lt;=C12+L12), 0))</f>
        <v>MBTK26</v>
      </c>
      <c r="K12" s="2">
        <f t="shared" si="4"/>
        <v>46171</v>
      </c>
      <c r="L12" s="1">
        <v>10</v>
      </c>
      <c r="M12" s="1">
        <f t="shared" si="5"/>
        <v>0</v>
      </c>
      <c r="P12" s="1" t="s">
        <v>96</v>
      </c>
      <c r="Q12" s="2">
        <v>41969</v>
      </c>
      <c r="R12" s="2">
        <v>46385</v>
      </c>
      <c r="S12" s="2">
        <v>46385</v>
      </c>
      <c r="T12" s="5" t="s">
        <v>422</v>
      </c>
      <c r="U12" s="2">
        <f t="shared" si="8"/>
        <v>46385</v>
      </c>
      <c r="V12" t="str">
        <f t="shared" si="9"/>
        <v>NG</v>
      </c>
      <c r="W12" t="str">
        <f t="shared" si="6"/>
        <v>NYMEX</v>
      </c>
      <c r="AB12" t="s">
        <v>511</v>
      </c>
      <c r="AC12" t="s">
        <v>517</v>
      </c>
    </row>
    <row r="13" spans="1:29" x14ac:dyDescent="0.2">
      <c r="A13" s="1" t="s">
        <v>0</v>
      </c>
      <c r="B13" s="1" t="s">
        <v>1</v>
      </c>
      <c r="C13" s="2">
        <v>46100</v>
      </c>
      <c r="D13" s="1" t="str">
        <f t="shared" si="0"/>
        <v>ED</v>
      </c>
      <c r="E13" s="1" t="s">
        <v>502</v>
      </c>
      <c r="F13" s="13" t="str">
        <f t="shared" si="1"/>
        <v>RUS:EDH2026-CME:ECH2026</v>
      </c>
      <c r="G13" s="2">
        <f t="shared" si="2"/>
        <v>46097</v>
      </c>
      <c r="H13" s="1" t="str">
        <f t="shared" si="3"/>
        <v>ED-3.26</v>
      </c>
      <c r="I13" s="1" t="str">
        <f t="shared" si="7"/>
        <v>ECH26</v>
      </c>
      <c r="J13" s="1" t="str" cm="1">
        <f t="array" ref="J13">INDEX(P:P,MATCH(1, (V:V=E13)*(U:U&gt;=C13-L13)*(U:U&lt;=C13+L13), 0))</f>
        <v>ECH26</v>
      </c>
      <c r="K13" s="2">
        <f t="shared" si="4"/>
        <v>46097</v>
      </c>
      <c r="L13" s="1">
        <v>10</v>
      </c>
      <c r="M13" s="1">
        <f t="shared" si="5"/>
        <v>-3</v>
      </c>
      <c r="P13" s="1" t="s">
        <v>97</v>
      </c>
      <c r="Q13" s="2">
        <v>41969</v>
      </c>
      <c r="R13" s="2">
        <v>46414</v>
      </c>
      <c r="S13" s="2">
        <v>46414</v>
      </c>
      <c r="T13" s="5" t="s">
        <v>422</v>
      </c>
      <c r="U13" s="2">
        <f t="shared" si="8"/>
        <v>46414</v>
      </c>
      <c r="V13" t="str">
        <f t="shared" si="9"/>
        <v>NG</v>
      </c>
      <c r="W13" t="str">
        <f t="shared" si="6"/>
        <v>NYMEX</v>
      </c>
      <c r="AB13" t="s">
        <v>518</v>
      </c>
      <c r="AC13" t="s">
        <v>515</v>
      </c>
    </row>
    <row r="14" spans="1:29" x14ac:dyDescent="0.2">
      <c r="A14" s="1" t="s">
        <v>30</v>
      </c>
      <c r="B14" s="1" t="s">
        <v>31</v>
      </c>
      <c r="C14" s="2">
        <v>46191</v>
      </c>
      <c r="D14" s="1" t="str">
        <f t="shared" si="0"/>
        <v>ED</v>
      </c>
      <c r="E14" s="1" t="s">
        <v>502</v>
      </c>
      <c r="F14" s="13" t="str">
        <f t="shared" si="1"/>
        <v>RUS:EDM2026-CME:ECM2026</v>
      </c>
      <c r="G14" s="2">
        <f t="shared" si="2"/>
        <v>46188</v>
      </c>
      <c r="H14" s="1" t="str">
        <f t="shared" si="3"/>
        <v>ED-6.26</v>
      </c>
      <c r="I14" s="1" t="str">
        <f t="shared" si="7"/>
        <v>ECM26</v>
      </c>
      <c r="J14" s="1" t="str" cm="1">
        <f t="array" ref="J14">INDEX(P:P,MATCH(1, (V:V=E14)*(U:U&gt;=C14-L14)*(U:U&lt;=C14+L14), 0))</f>
        <v>ECM26</v>
      </c>
      <c r="K14" s="2">
        <f t="shared" si="4"/>
        <v>46188</v>
      </c>
      <c r="L14" s="1">
        <v>10</v>
      </c>
      <c r="M14" s="1">
        <f t="shared" si="5"/>
        <v>-3</v>
      </c>
      <c r="P14" s="1" t="s">
        <v>98</v>
      </c>
      <c r="Q14" s="2">
        <v>41969</v>
      </c>
      <c r="R14" s="2">
        <v>46442</v>
      </c>
      <c r="S14" s="2">
        <v>46442</v>
      </c>
      <c r="T14" s="5" t="s">
        <v>422</v>
      </c>
      <c r="U14" s="2">
        <f t="shared" si="8"/>
        <v>46442</v>
      </c>
      <c r="V14" t="str">
        <f t="shared" si="9"/>
        <v>NG</v>
      </c>
      <c r="W14" t="str">
        <f t="shared" si="6"/>
        <v>NYMEX</v>
      </c>
    </row>
    <row r="15" spans="1:29" x14ac:dyDescent="0.2">
      <c r="A15" s="1" t="s">
        <v>54</v>
      </c>
      <c r="B15" s="1" t="s">
        <v>55</v>
      </c>
      <c r="C15" s="2">
        <v>46282</v>
      </c>
      <c r="D15" s="1" t="str">
        <f t="shared" si="0"/>
        <v>ED</v>
      </c>
      <c r="E15" s="1" t="s">
        <v>502</v>
      </c>
      <c r="F15" s="13" t="str">
        <f t="shared" si="1"/>
        <v>RUS:EDU2026-CME:ECU2026</v>
      </c>
      <c r="G15" s="2">
        <f t="shared" si="2"/>
        <v>46279</v>
      </c>
      <c r="H15" s="1" t="str">
        <f t="shared" si="3"/>
        <v>ED-9.26</v>
      </c>
      <c r="I15" s="1" t="str">
        <f t="shared" si="7"/>
        <v>ECU26</v>
      </c>
      <c r="J15" s="1" t="str" cm="1">
        <f t="array" ref="J15">INDEX(P:P,MATCH(1, (V:V=E15)*(U:U&gt;=C15-L15)*(U:U&lt;=C15+L15), 0))</f>
        <v>ECU26</v>
      </c>
      <c r="K15" s="2">
        <f t="shared" si="4"/>
        <v>46279</v>
      </c>
      <c r="L15" s="1">
        <v>10</v>
      </c>
      <c r="M15" s="1">
        <f t="shared" si="5"/>
        <v>-3</v>
      </c>
      <c r="P15" s="1" t="s">
        <v>99</v>
      </c>
      <c r="Q15" s="2">
        <v>41969</v>
      </c>
      <c r="R15" s="2">
        <v>46475</v>
      </c>
      <c r="S15" s="2">
        <v>46475</v>
      </c>
      <c r="T15" s="5" t="s">
        <v>422</v>
      </c>
      <c r="U15" s="2">
        <f t="shared" si="8"/>
        <v>46475</v>
      </c>
      <c r="V15" t="str">
        <f t="shared" si="9"/>
        <v>NG</v>
      </c>
      <c r="W15" t="str">
        <f t="shared" si="6"/>
        <v>NYMEX</v>
      </c>
    </row>
    <row r="16" spans="1:29" x14ac:dyDescent="0.2">
      <c r="A16" s="1" t="s">
        <v>70</v>
      </c>
      <c r="B16" s="1" t="s">
        <v>71</v>
      </c>
      <c r="C16" s="2">
        <v>46373</v>
      </c>
      <c r="D16" s="1" t="str">
        <f t="shared" si="0"/>
        <v>ED</v>
      </c>
      <c r="E16" s="1" t="s">
        <v>502</v>
      </c>
      <c r="F16" s="13" t="str">
        <f t="shared" si="1"/>
        <v>RUS:EDZ2026-CME:ECZ2026</v>
      </c>
      <c r="G16" s="2">
        <f t="shared" si="2"/>
        <v>46370</v>
      </c>
      <c r="H16" s="1" t="str">
        <f t="shared" si="3"/>
        <v>ED-12.26</v>
      </c>
      <c r="I16" s="1" t="str">
        <f t="shared" si="7"/>
        <v>ECZ26</v>
      </c>
      <c r="J16" s="1" t="str" cm="1">
        <f t="array" ref="J16">INDEX(P:P,MATCH(1, (V:V=E16)*(U:U&gt;=C16-L16)*(U:U&lt;=C16+L16), 0))</f>
        <v>ECZ26</v>
      </c>
      <c r="K16" s="2">
        <f t="shared" si="4"/>
        <v>46370</v>
      </c>
      <c r="L16" s="1">
        <v>10</v>
      </c>
      <c r="M16" s="1">
        <f t="shared" si="5"/>
        <v>-3</v>
      </c>
      <c r="P16" s="1" t="s">
        <v>100</v>
      </c>
      <c r="Q16" s="2">
        <v>41969</v>
      </c>
      <c r="R16" s="2">
        <v>46505</v>
      </c>
      <c r="S16" s="2">
        <v>46505</v>
      </c>
      <c r="T16" s="5" t="s">
        <v>422</v>
      </c>
      <c r="U16" s="2">
        <f t="shared" si="8"/>
        <v>46505</v>
      </c>
      <c r="V16" t="str">
        <f t="shared" si="9"/>
        <v>NG</v>
      </c>
      <c r="W16" t="str">
        <f t="shared" si="6"/>
        <v>NYMEX</v>
      </c>
    </row>
    <row r="17" spans="1:23" x14ac:dyDescent="0.2">
      <c r="A17" s="1" t="s">
        <v>4</v>
      </c>
      <c r="B17" s="1" t="s">
        <v>5</v>
      </c>
      <c r="C17" s="2">
        <v>46101</v>
      </c>
      <c r="D17" s="1" t="str">
        <f t="shared" si="0"/>
        <v>GOLD</v>
      </c>
      <c r="E17" s="1" t="s">
        <v>505</v>
      </c>
      <c r="F17" s="13" t="str">
        <f t="shared" si="1"/>
        <v>RUS:GDH2026-COMEX:GCJ2026</v>
      </c>
      <c r="G17" s="2">
        <f t="shared" si="2"/>
        <v>46101</v>
      </c>
      <c r="H17" s="1" t="str">
        <f t="shared" si="3"/>
        <v>GOLD-3.26</v>
      </c>
      <c r="I17" s="1" t="str">
        <f t="shared" si="7"/>
        <v>GCJ26</v>
      </c>
      <c r="J17" s="1" t="str" cm="1">
        <f t="array" ref="J17">INDEX(P:P,MATCH(1, (V:V=E17)*(U:U&gt;=C17-L17)*(U:U&lt;=C17+L17), 0))</f>
        <v>GCJ26</v>
      </c>
      <c r="K17" s="2">
        <f t="shared" si="4"/>
        <v>46112</v>
      </c>
      <c r="L17" s="1">
        <v>15</v>
      </c>
      <c r="M17" s="1">
        <f t="shared" si="5"/>
        <v>11</v>
      </c>
      <c r="P17" s="1" t="s">
        <v>101</v>
      </c>
      <c r="Q17" s="2">
        <v>41969</v>
      </c>
      <c r="R17" s="2">
        <v>46533</v>
      </c>
      <c r="S17" s="2">
        <v>46533</v>
      </c>
      <c r="T17" s="5" t="s">
        <v>422</v>
      </c>
      <c r="U17" s="2">
        <f t="shared" si="8"/>
        <v>46533</v>
      </c>
      <c r="V17" t="str">
        <f t="shared" si="9"/>
        <v>NG</v>
      </c>
      <c r="W17" t="str">
        <f t="shared" si="6"/>
        <v>NYMEX</v>
      </c>
    </row>
    <row r="18" spans="1:23" x14ac:dyDescent="0.2">
      <c r="A18" s="1" t="s">
        <v>34</v>
      </c>
      <c r="B18" s="1" t="s">
        <v>35</v>
      </c>
      <c r="C18" s="2">
        <v>46192</v>
      </c>
      <c r="D18" s="1" t="str">
        <f t="shared" si="0"/>
        <v>GOLD</v>
      </c>
      <c r="E18" s="1" t="s">
        <v>505</v>
      </c>
      <c r="F18" s="13" t="str">
        <f t="shared" si="1"/>
        <v>RUS:GDM2026-COMEX:GCN2026</v>
      </c>
      <c r="G18" s="2">
        <f t="shared" si="2"/>
        <v>46192</v>
      </c>
      <c r="H18" s="1" t="str">
        <f t="shared" si="3"/>
        <v>GOLD-6.26</v>
      </c>
      <c r="I18" s="1" t="str">
        <f t="shared" si="7"/>
        <v>GCN26</v>
      </c>
      <c r="J18" s="1" t="str" cm="1">
        <f t="array" ref="J18">INDEX(P:P,MATCH(1, (V:V=E18)*(U:U&gt;=C18-L18)*(U:U&lt;=C18+L18), 0))</f>
        <v>GCN26</v>
      </c>
      <c r="K18" s="2">
        <f t="shared" si="4"/>
        <v>46203</v>
      </c>
      <c r="L18" s="1">
        <v>15</v>
      </c>
      <c r="M18" s="1">
        <f t="shared" si="5"/>
        <v>11</v>
      </c>
      <c r="P18" s="1" t="s">
        <v>102</v>
      </c>
      <c r="Q18" s="2">
        <v>41969</v>
      </c>
      <c r="R18" s="2">
        <v>46566</v>
      </c>
      <c r="S18" s="2">
        <v>46566</v>
      </c>
      <c r="T18" s="5" t="s">
        <v>422</v>
      </c>
      <c r="U18" s="2">
        <f t="shared" si="8"/>
        <v>46566</v>
      </c>
      <c r="V18" t="str">
        <f t="shared" si="9"/>
        <v>NG</v>
      </c>
      <c r="W18" t="str">
        <f t="shared" si="6"/>
        <v>NYMEX</v>
      </c>
    </row>
    <row r="19" spans="1:23" x14ac:dyDescent="0.2">
      <c r="A19" s="1" t="s">
        <v>58</v>
      </c>
      <c r="B19" s="1" t="s">
        <v>59</v>
      </c>
      <c r="C19" s="2">
        <v>46283</v>
      </c>
      <c r="D19" s="1" t="str">
        <f t="shared" si="0"/>
        <v>GOLD</v>
      </c>
      <c r="E19" s="1" t="s">
        <v>505</v>
      </c>
      <c r="F19" s="13" t="str">
        <f t="shared" si="1"/>
        <v>RUS:GDU2026-COMEX:GCV2026</v>
      </c>
      <c r="G19" s="2">
        <f t="shared" si="2"/>
        <v>46283</v>
      </c>
      <c r="H19" s="1" t="str">
        <f t="shared" si="3"/>
        <v>GOLD-9.26</v>
      </c>
      <c r="I19" s="1" t="str">
        <f t="shared" si="7"/>
        <v>GCV26</v>
      </c>
      <c r="J19" s="1" t="str" cm="1">
        <f t="array" ref="J19">INDEX(P:P,MATCH(1, (V:V=E19)*(U:U&gt;=C19-L19)*(U:U&lt;=C19+L19), 0))</f>
        <v>GCV26</v>
      </c>
      <c r="K19" s="2">
        <f t="shared" si="4"/>
        <v>46295</v>
      </c>
      <c r="L19" s="1">
        <v>15</v>
      </c>
      <c r="M19" s="1">
        <f t="shared" si="5"/>
        <v>12</v>
      </c>
      <c r="P19" s="1" t="s">
        <v>103</v>
      </c>
      <c r="Q19" s="2">
        <v>41969</v>
      </c>
      <c r="R19" s="2">
        <v>46596</v>
      </c>
      <c r="S19" s="2">
        <v>46596</v>
      </c>
      <c r="T19" s="5" t="s">
        <v>422</v>
      </c>
      <c r="U19" s="2">
        <f t="shared" si="8"/>
        <v>46596</v>
      </c>
      <c r="V19" t="str">
        <f t="shared" si="9"/>
        <v>NG</v>
      </c>
      <c r="W19" t="str">
        <f t="shared" si="6"/>
        <v>NYMEX</v>
      </c>
    </row>
    <row r="20" spans="1:23" x14ac:dyDescent="0.2">
      <c r="A20" s="1" t="s">
        <v>74</v>
      </c>
      <c r="B20" s="1" t="s">
        <v>75</v>
      </c>
      <c r="C20" s="2">
        <v>46374</v>
      </c>
      <c r="D20" s="1" t="str">
        <f t="shared" si="0"/>
        <v>GOLD</v>
      </c>
      <c r="E20" s="1" t="s">
        <v>505</v>
      </c>
      <c r="F20" s="13" t="str">
        <f t="shared" si="1"/>
        <v>RUS:GDZ2026-COMEX:GCF2027</v>
      </c>
      <c r="G20" s="2">
        <f t="shared" si="2"/>
        <v>46374</v>
      </c>
      <c r="H20" s="1" t="str">
        <f t="shared" si="3"/>
        <v>GOLD-12.26</v>
      </c>
      <c r="I20" s="1" t="str">
        <f t="shared" si="7"/>
        <v>GCF27</v>
      </c>
      <c r="J20" s="1" t="str" cm="1">
        <f t="array" ref="J20">INDEX(P:P,MATCH(1, (V:V=E20)*(U:U&gt;=C20-L20)*(U:U&lt;=C20+L20), 0))</f>
        <v>GCF27</v>
      </c>
      <c r="K20" s="2">
        <f t="shared" si="4"/>
        <v>46387</v>
      </c>
      <c r="L20" s="1">
        <v>15</v>
      </c>
      <c r="M20" s="1">
        <f t="shared" si="5"/>
        <v>13</v>
      </c>
      <c r="P20" s="1" t="s">
        <v>104</v>
      </c>
      <c r="Q20" s="2">
        <v>41969</v>
      </c>
      <c r="R20" s="2">
        <v>46626</v>
      </c>
      <c r="S20" s="2">
        <v>46626</v>
      </c>
      <c r="T20" s="5" t="s">
        <v>422</v>
      </c>
      <c r="U20" s="2">
        <f t="shared" si="8"/>
        <v>46626</v>
      </c>
      <c r="V20" t="str">
        <f t="shared" si="9"/>
        <v>NG</v>
      </c>
      <c r="W20" t="str">
        <f t="shared" si="6"/>
        <v>NYMEX</v>
      </c>
    </row>
    <row r="21" spans="1:23" x14ac:dyDescent="0.2">
      <c r="A21" s="1" t="s">
        <v>12</v>
      </c>
      <c r="B21" s="1" t="s">
        <v>13</v>
      </c>
      <c r="C21" s="2">
        <v>46108</v>
      </c>
      <c r="D21" s="1" t="str">
        <f t="shared" si="0"/>
        <v>NG</v>
      </c>
      <c r="E21" s="1" t="s">
        <v>506</v>
      </c>
      <c r="F21" s="13" t="str">
        <f t="shared" si="1"/>
        <v>RUS:NGH2026-NYMEX:NGJ2026</v>
      </c>
      <c r="G21" s="2">
        <f t="shared" si="2"/>
        <v>46108</v>
      </c>
      <c r="H21" s="1" t="str">
        <f t="shared" si="3"/>
        <v>NG-3.26</v>
      </c>
      <c r="I21" s="1" t="str">
        <f t="shared" si="7"/>
        <v>NGJ26</v>
      </c>
      <c r="J21" s="1" t="str" cm="1">
        <f t="array" ref="J21">INDEX(P:P,MATCH(1, (V:V=E21)*(U:U&gt;=C21-L21)*(U:U&lt;=C21+L21), 0))</f>
        <v>NGJ26</v>
      </c>
      <c r="K21" s="2">
        <f t="shared" si="4"/>
        <v>46108</v>
      </c>
      <c r="L21" s="1">
        <v>3</v>
      </c>
      <c r="M21" s="1">
        <f t="shared" si="5"/>
        <v>0</v>
      </c>
      <c r="P21" s="1" t="s">
        <v>105</v>
      </c>
      <c r="Q21" s="2">
        <v>41969</v>
      </c>
      <c r="R21" s="2">
        <v>46658</v>
      </c>
      <c r="S21" s="2">
        <v>46658</v>
      </c>
      <c r="T21" s="5" t="s">
        <v>422</v>
      </c>
      <c r="U21" s="2">
        <f t="shared" si="8"/>
        <v>46658</v>
      </c>
      <c r="V21" t="str">
        <f t="shared" si="9"/>
        <v>NG</v>
      </c>
      <c r="W21" t="str">
        <f t="shared" si="6"/>
        <v>NYMEX</v>
      </c>
    </row>
    <row r="22" spans="1:23" x14ac:dyDescent="0.2">
      <c r="A22" s="1" t="s">
        <v>20</v>
      </c>
      <c r="B22" s="1" t="s">
        <v>21</v>
      </c>
      <c r="C22" s="2">
        <v>46140</v>
      </c>
      <c r="D22" s="1" t="str">
        <f t="shared" si="0"/>
        <v>NG</v>
      </c>
      <c r="E22" s="1" t="s">
        <v>506</v>
      </c>
      <c r="F22" s="13" t="str">
        <f t="shared" si="1"/>
        <v>RUS:NGJ2026-NYMEX:NGK2026</v>
      </c>
      <c r="G22" s="2">
        <f t="shared" si="2"/>
        <v>46140</v>
      </c>
      <c r="H22" s="1" t="str">
        <f t="shared" si="3"/>
        <v>NG-4.26</v>
      </c>
      <c r="I22" s="1" t="str">
        <f t="shared" si="7"/>
        <v>NGK26</v>
      </c>
      <c r="J22" s="1" t="str" cm="1">
        <f t="array" ref="J22">INDEX(P:P,MATCH(1, (V:V=E22)*(U:U&gt;=C22-L22)*(U:U&lt;=C22+L22), 0))</f>
        <v>NGK26</v>
      </c>
      <c r="K22" s="2">
        <f t="shared" si="4"/>
        <v>46140</v>
      </c>
      <c r="L22" s="1">
        <v>3</v>
      </c>
      <c r="M22" s="1">
        <f t="shared" si="5"/>
        <v>0</v>
      </c>
      <c r="P22" s="1" t="s">
        <v>106</v>
      </c>
      <c r="Q22" s="2">
        <v>41969</v>
      </c>
      <c r="R22" s="2">
        <v>46687</v>
      </c>
      <c r="S22" s="2">
        <v>46687</v>
      </c>
      <c r="T22" s="5" t="s">
        <v>422</v>
      </c>
      <c r="U22" s="2">
        <f t="shared" si="8"/>
        <v>46687</v>
      </c>
      <c r="V22" t="str">
        <f t="shared" si="9"/>
        <v>NG</v>
      </c>
      <c r="W22" t="str">
        <f t="shared" si="6"/>
        <v>NYMEX</v>
      </c>
    </row>
    <row r="23" spans="1:23" x14ac:dyDescent="0.2">
      <c r="A23" s="1" t="s">
        <v>24</v>
      </c>
      <c r="B23" s="1" t="s">
        <v>25</v>
      </c>
      <c r="C23" s="2">
        <v>46169</v>
      </c>
      <c r="D23" s="1" t="str">
        <f t="shared" si="0"/>
        <v>NG</v>
      </c>
      <c r="E23" s="1" t="s">
        <v>506</v>
      </c>
      <c r="F23" s="13" t="str">
        <f t="shared" si="1"/>
        <v>RUS:NGK2026-NYMEX:NGM2026</v>
      </c>
      <c r="G23" s="2">
        <f t="shared" si="2"/>
        <v>46169</v>
      </c>
      <c r="H23" s="1" t="str">
        <f t="shared" si="3"/>
        <v>NG-5.26</v>
      </c>
      <c r="I23" s="1" t="str">
        <f t="shared" si="7"/>
        <v>NGM26</v>
      </c>
      <c r="J23" s="1" t="str" cm="1">
        <f t="array" ref="J23">INDEX(P:P,MATCH(1, (V:V=E23)*(U:U&gt;=C23-L23)*(U:U&lt;=C23+L23), 0))</f>
        <v>NGM26</v>
      </c>
      <c r="K23" s="2">
        <f t="shared" si="4"/>
        <v>46169</v>
      </c>
      <c r="L23" s="1">
        <v>3</v>
      </c>
      <c r="M23" s="1">
        <f t="shared" si="5"/>
        <v>0</v>
      </c>
      <c r="P23" s="1" t="s">
        <v>107</v>
      </c>
      <c r="Q23" s="2">
        <v>41969</v>
      </c>
      <c r="R23" s="2">
        <v>46717</v>
      </c>
      <c r="S23" s="2">
        <v>46717</v>
      </c>
      <c r="T23" s="5" t="s">
        <v>422</v>
      </c>
      <c r="U23" s="2">
        <f t="shared" si="8"/>
        <v>46717</v>
      </c>
      <c r="V23" t="str">
        <f t="shared" si="9"/>
        <v>NG</v>
      </c>
      <c r="W23" t="str">
        <f t="shared" si="6"/>
        <v>NYMEX</v>
      </c>
    </row>
    <row r="24" spans="1:23" x14ac:dyDescent="0.2">
      <c r="A24" s="1" t="s">
        <v>42</v>
      </c>
      <c r="B24" s="1" t="s">
        <v>43</v>
      </c>
      <c r="C24" s="2">
        <v>46199</v>
      </c>
      <c r="D24" s="1" t="str">
        <f t="shared" si="0"/>
        <v>NG</v>
      </c>
      <c r="E24" s="1" t="s">
        <v>506</v>
      </c>
      <c r="F24" s="13" t="str">
        <f t="shared" si="1"/>
        <v>RUS:NGM2026-NYMEX:NGN2026</v>
      </c>
      <c r="G24" s="2">
        <f t="shared" si="2"/>
        <v>46199</v>
      </c>
      <c r="H24" s="1" t="str">
        <f t="shared" si="3"/>
        <v>NG-6.26</v>
      </c>
      <c r="I24" s="1" t="str">
        <f t="shared" si="7"/>
        <v>NGN26</v>
      </c>
      <c r="J24" s="1" t="str" cm="1">
        <f t="array" ref="J24">INDEX(P:P,MATCH(1, (V:V=E24)*(U:U&gt;=C24-L24)*(U:U&lt;=C24+L24), 0))</f>
        <v>NGN26</v>
      </c>
      <c r="K24" s="2">
        <f t="shared" si="4"/>
        <v>46199</v>
      </c>
      <c r="L24" s="1">
        <v>3</v>
      </c>
      <c r="M24" s="1">
        <f t="shared" si="5"/>
        <v>0</v>
      </c>
      <c r="P24" s="1" t="s">
        <v>108</v>
      </c>
      <c r="Q24" s="2">
        <v>42335</v>
      </c>
      <c r="R24" s="2">
        <v>46750</v>
      </c>
      <c r="S24" s="2">
        <v>46750</v>
      </c>
      <c r="T24" s="5" t="s">
        <v>422</v>
      </c>
      <c r="U24" s="2">
        <f t="shared" si="8"/>
        <v>46750</v>
      </c>
      <c r="V24" t="str">
        <f t="shared" si="9"/>
        <v>NG</v>
      </c>
      <c r="W24" t="str">
        <f t="shared" si="6"/>
        <v>NYMEX</v>
      </c>
    </row>
    <row r="25" spans="1:23" x14ac:dyDescent="0.2">
      <c r="A25" s="1" t="s">
        <v>46</v>
      </c>
      <c r="B25" s="1" t="s">
        <v>47</v>
      </c>
      <c r="C25" s="2">
        <v>46232</v>
      </c>
      <c r="D25" s="1" t="str">
        <f t="shared" si="0"/>
        <v>NG</v>
      </c>
      <c r="E25" s="1" t="s">
        <v>506</v>
      </c>
      <c r="F25" s="13" t="str">
        <f t="shared" si="1"/>
        <v>RUS:NGN2026-NYMEX:NGQ2026</v>
      </c>
      <c r="G25" s="2">
        <f t="shared" si="2"/>
        <v>46232</v>
      </c>
      <c r="H25" s="1" t="str">
        <f t="shared" si="3"/>
        <v>NG-7.26</v>
      </c>
      <c r="I25" s="1" t="str">
        <f t="shared" si="7"/>
        <v>NGQ26</v>
      </c>
      <c r="J25" s="1" t="str" cm="1">
        <f t="array" ref="J25">INDEX(P:P,MATCH(1, (V:V=E25)*(U:U&gt;=C25-L25)*(U:U&lt;=C25+L25), 0))</f>
        <v>NGQ26</v>
      </c>
      <c r="K25" s="2">
        <f t="shared" si="4"/>
        <v>46232</v>
      </c>
      <c r="L25" s="1">
        <v>3</v>
      </c>
      <c r="M25" s="1">
        <f t="shared" si="5"/>
        <v>0</v>
      </c>
      <c r="P25" s="1" t="s">
        <v>109</v>
      </c>
      <c r="Q25" s="2">
        <v>42335</v>
      </c>
      <c r="R25" s="2">
        <v>46779</v>
      </c>
      <c r="S25" s="2">
        <v>46779</v>
      </c>
      <c r="T25" s="5" t="s">
        <v>422</v>
      </c>
      <c r="U25" s="2">
        <f t="shared" si="8"/>
        <v>46779</v>
      </c>
      <c r="V25" t="str">
        <f t="shared" si="9"/>
        <v>NG</v>
      </c>
      <c r="W25" t="str">
        <f t="shared" si="6"/>
        <v>NYMEX</v>
      </c>
    </row>
    <row r="26" spans="1:23" x14ac:dyDescent="0.2">
      <c r="A26" s="1" t="s">
        <v>50</v>
      </c>
      <c r="B26" s="1" t="s">
        <v>51</v>
      </c>
      <c r="C26" s="2">
        <v>46261</v>
      </c>
      <c r="D26" s="1" t="str">
        <f t="shared" si="0"/>
        <v>NG</v>
      </c>
      <c r="E26" s="1" t="s">
        <v>506</v>
      </c>
      <c r="F26" s="13" t="str">
        <f t="shared" si="1"/>
        <v>RUS:NGQ2026-NYMEX:NGU2026</v>
      </c>
      <c r="G26" s="2">
        <f t="shared" si="2"/>
        <v>46261</v>
      </c>
      <c r="H26" s="1" t="str">
        <f t="shared" si="3"/>
        <v>NG-8.26</v>
      </c>
      <c r="I26" s="1" t="str">
        <f t="shared" si="7"/>
        <v>NGU26</v>
      </c>
      <c r="J26" s="1" t="str" cm="1">
        <f t="array" ref="J26">INDEX(P:P,MATCH(1, (V:V=E26)*(U:U&gt;=C26-L26)*(U:U&lt;=C26+L26), 0))</f>
        <v>NGU26</v>
      </c>
      <c r="K26" s="2">
        <f t="shared" si="4"/>
        <v>46261</v>
      </c>
      <c r="L26" s="1">
        <v>3</v>
      </c>
      <c r="M26" s="1">
        <f t="shared" si="5"/>
        <v>0</v>
      </c>
      <c r="P26" s="1" t="s">
        <v>110</v>
      </c>
      <c r="Q26" s="2">
        <v>42335</v>
      </c>
      <c r="R26" s="2">
        <v>46808</v>
      </c>
      <c r="S26" s="2">
        <v>46808</v>
      </c>
      <c r="T26" s="5" t="s">
        <v>422</v>
      </c>
      <c r="U26" s="2">
        <f t="shared" si="8"/>
        <v>46808</v>
      </c>
      <c r="V26" t="str">
        <f t="shared" si="9"/>
        <v>NG</v>
      </c>
      <c r="W26" t="str">
        <f t="shared" si="6"/>
        <v>NYMEX</v>
      </c>
    </row>
    <row r="27" spans="1:23" x14ac:dyDescent="0.2">
      <c r="A27" s="1" t="s">
        <v>66</v>
      </c>
      <c r="B27" s="1" t="s">
        <v>67</v>
      </c>
      <c r="C27" s="2">
        <v>46293</v>
      </c>
      <c r="D27" s="1" t="str">
        <f t="shared" si="0"/>
        <v>NG</v>
      </c>
      <c r="E27" s="1" t="s">
        <v>506</v>
      </c>
      <c r="F27" s="13" t="str">
        <f t="shared" si="1"/>
        <v>RUS:NGU2026-NYMEX:NGV2026</v>
      </c>
      <c r="G27" s="2">
        <f t="shared" si="2"/>
        <v>46293</v>
      </c>
      <c r="H27" s="1" t="str">
        <f t="shared" si="3"/>
        <v>NG-9.26</v>
      </c>
      <c r="I27" s="1" t="str">
        <f t="shared" si="7"/>
        <v>NGV26</v>
      </c>
      <c r="J27" s="1" t="str" cm="1">
        <f t="array" ref="J27">INDEX(P:P,MATCH(1, (V:V=E27)*(U:U&gt;=C27-L27)*(U:U&lt;=C27+L27), 0))</f>
        <v>NGV26</v>
      </c>
      <c r="K27" s="2">
        <f t="shared" si="4"/>
        <v>46293</v>
      </c>
      <c r="L27" s="1">
        <v>3</v>
      </c>
      <c r="M27" s="1">
        <f t="shared" si="5"/>
        <v>0</v>
      </c>
      <c r="P27" s="1" t="s">
        <v>111</v>
      </c>
      <c r="Q27" s="2">
        <v>42335</v>
      </c>
      <c r="R27" s="2">
        <v>46841</v>
      </c>
      <c r="S27" s="2">
        <v>46841</v>
      </c>
      <c r="T27" s="5" t="s">
        <v>422</v>
      </c>
      <c r="U27" s="2">
        <f t="shared" si="8"/>
        <v>46841</v>
      </c>
      <c r="V27" t="str">
        <f t="shared" si="9"/>
        <v>NG</v>
      </c>
      <c r="W27" t="str">
        <f t="shared" si="6"/>
        <v>NYMEX</v>
      </c>
    </row>
    <row r="28" spans="1:23" x14ac:dyDescent="0.2">
      <c r="A28" s="1" t="s">
        <v>10</v>
      </c>
      <c r="B28" s="1" t="s">
        <v>11</v>
      </c>
      <c r="C28" s="2">
        <v>46101</v>
      </c>
      <c r="D28" s="1" t="str">
        <f t="shared" si="0"/>
        <v>PLD</v>
      </c>
      <c r="E28" s="1" t="s">
        <v>507</v>
      </c>
      <c r="F28" s="13" t="str">
        <f t="shared" si="1"/>
        <v>RUS:PDH2026-NYMEX:PAJ2026</v>
      </c>
      <c r="G28" s="2">
        <f t="shared" si="2"/>
        <v>46101</v>
      </c>
      <c r="H28" s="1" t="str">
        <f t="shared" si="3"/>
        <v>PLD-3.26</v>
      </c>
      <c r="I28" s="1" t="str">
        <f t="shared" si="7"/>
        <v>PAJ26</v>
      </c>
      <c r="J28" s="1" t="str" cm="1">
        <f t="array" ref="J28">INDEX(P:P,MATCH(1, (V:V=E28)*(U:U&gt;=C28-L28)*(U:U&lt;=C28+L28), 0))</f>
        <v>PAJ26</v>
      </c>
      <c r="K28" s="2">
        <f t="shared" si="4"/>
        <v>46112</v>
      </c>
      <c r="L28" s="1">
        <v>15</v>
      </c>
      <c r="M28" s="1">
        <f t="shared" si="5"/>
        <v>11</v>
      </c>
      <c r="P28" s="1" t="s">
        <v>112</v>
      </c>
      <c r="Q28" s="2">
        <v>42335</v>
      </c>
      <c r="R28" s="2">
        <v>46869</v>
      </c>
      <c r="S28" s="2">
        <v>46869</v>
      </c>
      <c r="T28" s="5" t="s">
        <v>422</v>
      </c>
      <c r="U28" s="2">
        <f t="shared" si="8"/>
        <v>46869</v>
      </c>
      <c r="V28" t="str">
        <f t="shared" si="9"/>
        <v>NG</v>
      </c>
      <c r="W28" t="str">
        <f t="shared" si="6"/>
        <v>NYMEX</v>
      </c>
    </row>
    <row r="29" spans="1:23" x14ac:dyDescent="0.2">
      <c r="A29" s="1" t="s">
        <v>40</v>
      </c>
      <c r="B29" s="1" t="s">
        <v>41</v>
      </c>
      <c r="C29" s="2">
        <v>46192</v>
      </c>
      <c r="D29" s="1" t="str">
        <f t="shared" si="0"/>
        <v>PLD</v>
      </c>
      <c r="E29" s="1" t="s">
        <v>507</v>
      </c>
      <c r="F29" s="13" t="str">
        <f t="shared" si="1"/>
        <v>RUS:PDM2026-NYMEX:PAM2026</v>
      </c>
      <c r="G29" s="2">
        <f t="shared" si="2"/>
        <v>46171</v>
      </c>
      <c r="H29" s="1" t="str">
        <f t="shared" si="3"/>
        <v>PLD-6.26</v>
      </c>
      <c r="I29" s="1" t="str">
        <f t="shared" si="7"/>
        <v>PAM26</v>
      </c>
      <c r="J29" s="1" t="str" cm="1">
        <f t="array" ref="J29">INDEX(P:P,MATCH(1, (V:V=E29)*(U:U&gt;=C29-L29)*(U:U&lt;=C29+L29), 0))</f>
        <v>PAM26</v>
      </c>
      <c r="K29" s="2">
        <f t="shared" si="4"/>
        <v>46171</v>
      </c>
      <c r="L29" s="1">
        <v>30</v>
      </c>
      <c r="M29" s="1">
        <f t="shared" si="5"/>
        <v>-21</v>
      </c>
      <c r="P29" s="1" t="s">
        <v>113</v>
      </c>
      <c r="Q29" s="2">
        <v>42335</v>
      </c>
      <c r="R29" s="2">
        <v>46899</v>
      </c>
      <c r="S29" s="2">
        <v>46899</v>
      </c>
      <c r="T29" s="5" t="s">
        <v>422</v>
      </c>
      <c r="U29" s="2">
        <f t="shared" si="8"/>
        <v>46899</v>
      </c>
      <c r="V29" t="str">
        <f t="shared" si="9"/>
        <v>NG</v>
      </c>
      <c r="W29" t="str">
        <f t="shared" si="6"/>
        <v>NYMEX</v>
      </c>
    </row>
    <row r="30" spans="1:23" x14ac:dyDescent="0.2">
      <c r="A30" s="1" t="s">
        <v>64</v>
      </c>
      <c r="B30" s="1" t="s">
        <v>65</v>
      </c>
      <c r="C30" s="2">
        <v>46283</v>
      </c>
      <c r="D30" s="1" t="str">
        <f t="shared" si="0"/>
        <v>PLD</v>
      </c>
      <c r="E30" s="1" t="s">
        <v>507</v>
      </c>
      <c r="F30" s="13" t="str">
        <f t="shared" si="1"/>
        <v>RUS:PDU2026-NYMEX:PAU2026</v>
      </c>
      <c r="G30" s="2">
        <f t="shared" si="2"/>
        <v>46265</v>
      </c>
      <c r="H30" s="1" t="str">
        <f t="shared" si="3"/>
        <v>PLD-9.26</v>
      </c>
      <c r="I30" s="1" t="str">
        <f t="shared" si="7"/>
        <v>PAU26</v>
      </c>
      <c r="J30" s="1" t="str" cm="1">
        <f t="array" ref="J30">INDEX(P:P,MATCH(1, (V:V=E30)*(U:U&gt;=C30-L30)*(U:U&lt;=C30+L30), 0))</f>
        <v>PAU26</v>
      </c>
      <c r="K30" s="2">
        <f t="shared" si="4"/>
        <v>46265</v>
      </c>
      <c r="L30" s="1">
        <v>30</v>
      </c>
      <c r="M30" s="1">
        <f t="shared" si="5"/>
        <v>-18</v>
      </c>
      <c r="P30" s="1" t="s">
        <v>114</v>
      </c>
      <c r="Q30" s="2">
        <v>42335</v>
      </c>
      <c r="R30" s="2">
        <v>46932</v>
      </c>
      <c r="S30" s="2">
        <v>46932</v>
      </c>
      <c r="T30" s="5" t="s">
        <v>422</v>
      </c>
      <c r="U30" s="2">
        <f t="shared" si="8"/>
        <v>46932</v>
      </c>
      <c r="V30" t="str">
        <f t="shared" si="9"/>
        <v>NG</v>
      </c>
      <c r="W30" t="str">
        <f t="shared" si="6"/>
        <v>NYMEX</v>
      </c>
    </row>
    <row r="31" spans="1:23" x14ac:dyDescent="0.2">
      <c r="A31" s="1" t="s">
        <v>80</v>
      </c>
      <c r="B31" s="1" t="s">
        <v>81</v>
      </c>
      <c r="C31" s="2">
        <v>46374</v>
      </c>
      <c r="D31" s="1" t="str">
        <f t="shared" si="0"/>
        <v>PLD</v>
      </c>
      <c r="E31" s="1" t="s">
        <v>507</v>
      </c>
      <c r="F31" s="13" t="str">
        <f t="shared" si="1"/>
        <v>RUS:PDZ2026-NYMEX:PAZ2026</v>
      </c>
      <c r="G31" s="2">
        <f t="shared" si="2"/>
        <v>46356</v>
      </c>
      <c r="H31" s="1" t="str">
        <f t="shared" si="3"/>
        <v>PLD-12.26</v>
      </c>
      <c r="I31" s="1" t="str">
        <f t="shared" si="7"/>
        <v>PAZ26</v>
      </c>
      <c r="J31" s="1" t="str" cm="1">
        <f t="array" ref="J31">INDEX(P:P,MATCH(1, (V:V=E31)*(U:U&gt;=C31-L31)*(U:U&lt;=C31+L31), 0))</f>
        <v>PAZ26</v>
      </c>
      <c r="K31" s="2">
        <f t="shared" si="4"/>
        <v>46356</v>
      </c>
      <c r="L31" s="1">
        <v>30</v>
      </c>
      <c r="M31" s="1">
        <f t="shared" si="5"/>
        <v>-18</v>
      </c>
      <c r="P31" s="1" t="s">
        <v>115</v>
      </c>
      <c r="Q31" s="2">
        <v>42335</v>
      </c>
      <c r="R31" s="2">
        <v>46961</v>
      </c>
      <c r="S31" s="2">
        <v>46961</v>
      </c>
      <c r="T31" s="5" t="s">
        <v>422</v>
      </c>
      <c r="U31" s="2">
        <f t="shared" si="8"/>
        <v>46961</v>
      </c>
      <c r="V31" t="str">
        <f t="shared" si="9"/>
        <v>NG</v>
      </c>
      <c r="W31" t="str">
        <f t="shared" si="6"/>
        <v>NYMEX</v>
      </c>
    </row>
    <row r="32" spans="1:23" x14ac:dyDescent="0.2">
      <c r="A32" s="1" t="s">
        <v>8</v>
      </c>
      <c r="B32" s="1" t="s">
        <v>9</v>
      </c>
      <c r="C32" s="2">
        <v>46101</v>
      </c>
      <c r="D32" s="1" t="str">
        <f t="shared" si="0"/>
        <v>PLT</v>
      </c>
      <c r="E32" s="1" t="s">
        <v>509</v>
      </c>
      <c r="F32" s="13" t="str">
        <f t="shared" si="1"/>
        <v>RUS:PTH2026-NYMEX:PLJ2026</v>
      </c>
      <c r="G32" s="2">
        <f t="shared" si="2"/>
        <v>46101</v>
      </c>
      <c r="H32" s="1" t="str">
        <f t="shared" si="3"/>
        <v>PLT-3.26</v>
      </c>
      <c r="I32" s="1" t="str">
        <f t="shared" si="7"/>
        <v>PLJ26</v>
      </c>
      <c r="J32" s="1" t="str" cm="1">
        <f t="array" ref="J32">INDEX(P:P,MATCH(1, (V:V=E32)*(U:U&gt;=C32-L32)*(U:U&lt;=C32+L32), 0))</f>
        <v>PLJ26</v>
      </c>
      <c r="K32" s="2">
        <f t="shared" si="4"/>
        <v>46112</v>
      </c>
      <c r="L32" s="1">
        <v>15</v>
      </c>
      <c r="M32" s="1">
        <f t="shared" si="5"/>
        <v>11</v>
      </c>
      <c r="P32" s="1" t="s">
        <v>116</v>
      </c>
      <c r="Q32" s="2">
        <v>42335</v>
      </c>
      <c r="R32" s="2">
        <v>46994</v>
      </c>
      <c r="S32" s="2">
        <v>46994</v>
      </c>
      <c r="T32" s="5" t="s">
        <v>422</v>
      </c>
      <c r="U32" s="2">
        <f t="shared" si="8"/>
        <v>46994</v>
      </c>
      <c r="V32" t="str">
        <f t="shared" si="9"/>
        <v>NG</v>
      </c>
      <c r="W32" t="str">
        <f t="shared" si="6"/>
        <v>NYMEX</v>
      </c>
    </row>
    <row r="33" spans="1:23" x14ac:dyDescent="0.2">
      <c r="A33" s="1" t="s">
        <v>38</v>
      </c>
      <c r="B33" s="1" t="s">
        <v>39</v>
      </c>
      <c r="C33" s="2">
        <v>46192</v>
      </c>
      <c r="D33" s="1" t="str">
        <f t="shared" si="0"/>
        <v>PLT</v>
      </c>
      <c r="E33" s="1" t="s">
        <v>509</v>
      </c>
      <c r="F33" s="13" t="str">
        <f t="shared" si="1"/>
        <v>RUS:PTM2026-NYMEX:PLN2026</v>
      </c>
      <c r="G33" s="2">
        <f t="shared" si="2"/>
        <v>46192</v>
      </c>
      <c r="H33" s="1" t="str">
        <f t="shared" si="3"/>
        <v>PLT-6.26</v>
      </c>
      <c r="I33" s="1" t="str">
        <f t="shared" si="7"/>
        <v>PLN26</v>
      </c>
      <c r="J33" s="1" t="str" cm="1">
        <f t="array" ref="J33">INDEX(P:P,MATCH(1, (V:V=E33)*(U:U&gt;=C33-L33)*(U:U&lt;=C33+L33), 0))</f>
        <v>PLN26</v>
      </c>
      <c r="K33" s="2">
        <f t="shared" si="4"/>
        <v>46203</v>
      </c>
      <c r="L33" s="1">
        <v>15</v>
      </c>
      <c r="M33" s="1">
        <f t="shared" si="5"/>
        <v>11</v>
      </c>
      <c r="P33" s="1" t="s">
        <v>117</v>
      </c>
      <c r="Q33" s="2">
        <v>42335</v>
      </c>
      <c r="R33" s="2">
        <v>47023</v>
      </c>
      <c r="S33" s="2">
        <v>47023</v>
      </c>
      <c r="T33" s="5" t="s">
        <v>422</v>
      </c>
      <c r="U33" s="2">
        <f t="shared" si="8"/>
        <v>47023</v>
      </c>
      <c r="V33" t="str">
        <f t="shared" si="9"/>
        <v>NG</v>
      </c>
      <c r="W33" t="str">
        <f t="shared" si="6"/>
        <v>NYMEX</v>
      </c>
    </row>
    <row r="34" spans="1:23" x14ac:dyDescent="0.2">
      <c r="A34" s="1" t="s">
        <v>62</v>
      </c>
      <c r="B34" s="1" t="s">
        <v>63</v>
      </c>
      <c r="C34" s="2">
        <v>46283</v>
      </c>
      <c r="D34" s="1" t="str">
        <f t="shared" si="0"/>
        <v>PLT</v>
      </c>
      <c r="E34" s="1" t="s">
        <v>509</v>
      </c>
      <c r="F34" s="13" t="str">
        <f t="shared" si="1"/>
        <v>RUS:PTU2026-NYMEX:PLV2026</v>
      </c>
      <c r="G34" s="2">
        <f t="shared" si="2"/>
        <v>46283</v>
      </c>
      <c r="H34" s="1" t="str">
        <f t="shared" si="3"/>
        <v>PLT-9.26</v>
      </c>
      <c r="I34" s="1" t="str">
        <f t="shared" si="7"/>
        <v>PLV26</v>
      </c>
      <c r="J34" s="1" t="str" cm="1">
        <f t="array" ref="J34">INDEX(P:P,MATCH(1, (V:V=E34)*(U:U&gt;=C34-L34)*(U:U&lt;=C34+L34), 0))</f>
        <v>PLV26</v>
      </c>
      <c r="K34" s="2">
        <f t="shared" si="4"/>
        <v>46295</v>
      </c>
      <c r="L34" s="1">
        <v>15</v>
      </c>
      <c r="M34" s="1">
        <f t="shared" si="5"/>
        <v>12</v>
      </c>
      <c r="P34" s="1" t="s">
        <v>118</v>
      </c>
      <c r="Q34" s="2">
        <v>42335</v>
      </c>
      <c r="R34" s="2">
        <v>47053</v>
      </c>
      <c r="S34" s="2">
        <v>47053</v>
      </c>
      <c r="T34" s="5" t="s">
        <v>422</v>
      </c>
      <c r="U34" s="2">
        <f t="shared" si="8"/>
        <v>47053</v>
      </c>
      <c r="V34" t="str">
        <f t="shared" si="9"/>
        <v>NG</v>
      </c>
      <c r="W34" t="str">
        <f t="shared" si="6"/>
        <v>NYMEX</v>
      </c>
    </row>
    <row r="35" spans="1:23" x14ac:dyDescent="0.2">
      <c r="A35" s="1" t="s">
        <v>78</v>
      </c>
      <c r="B35" s="1" t="s">
        <v>79</v>
      </c>
      <c r="C35" s="2">
        <v>46374</v>
      </c>
      <c r="D35" s="1" t="str">
        <f t="shared" si="0"/>
        <v>PLT</v>
      </c>
      <c r="E35" s="1" t="s">
        <v>509</v>
      </c>
      <c r="F35" s="13" t="str">
        <f t="shared" si="1"/>
        <v>RUS:PTZ2026-NYMEX:PLF2027</v>
      </c>
      <c r="G35" s="2">
        <f t="shared" si="2"/>
        <v>46374</v>
      </c>
      <c r="H35" s="1" t="str">
        <f t="shared" si="3"/>
        <v>PLT-12.26</v>
      </c>
      <c r="I35" s="1" t="str">
        <f t="shared" si="7"/>
        <v>PLF27</v>
      </c>
      <c r="J35" s="1" t="str" cm="1">
        <f t="array" ref="J35">INDEX(P:P,MATCH(1, (V:V=E35)*(U:U&gt;=C35-L35)*(U:U&lt;=C35+L35), 0))</f>
        <v>PLF27</v>
      </c>
      <c r="K35" s="2">
        <f t="shared" si="4"/>
        <v>46387</v>
      </c>
      <c r="L35" s="1">
        <v>15</v>
      </c>
      <c r="M35" s="1">
        <f t="shared" si="5"/>
        <v>13</v>
      </c>
      <c r="P35" s="1" t="s">
        <v>119</v>
      </c>
      <c r="Q35" s="2">
        <v>42335</v>
      </c>
      <c r="R35" s="2">
        <v>47085</v>
      </c>
      <c r="S35" s="2">
        <v>47085</v>
      </c>
      <c r="T35" s="5" t="s">
        <v>422</v>
      </c>
      <c r="U35" s="2">
        <f t="shared" si="8"/>
        <v>47085</v>
      </c>
      <c r="V35" t="str">
        <f t="shared" si="9"/>
        <v>NG</v>
      </c>
      <c r="W35" t="str">
        <f t="shared" si="6"/>
        <v>NYMEX</v>
      </c>
    </row>
    <row r="36" spans="1:23" x14ac:dyDescent="0.2">
      <c r="A36" s="1" t="s">
        <v>6</v>
      </c>
      <c r="B36" s="1" t="s">
        <v>7</v>
      </c>
      <c r="C36" s="2">
        <v>46101</v>
      </c>
      <c r="D36" s="1" t="str">
        <f t="shared" si="0"/>
        <v>SILV</v>
      </c>
      <c r="E36" s="1" t="s">
        <v>508</v>
      </c>
      <c r="F36" s="13" t="str">
        <f t="shared" si="1"/>
        <v>RUS:SVH2026-COMEX:SIJ2026</v>
      </c>
      <c r="G36" s="2">
        <f t="shared" si="2"/>
        <v>46101</v>
      </c>
      <c r="H36" s="1" t="str">
        <f t="shared" si="3"/>
        <v>SILV-3.26</v>
      </c>
      <c r="I36" s="1" t="str">
        <f t="shared" si="7"/>
        <v>SIJ26</v>
      </c>
      <c r="J36" s="1" t="str" cm="1">
        <f t="array" ref="J36">INDEX(P:P,MATCH(1, (V:V=E36)*(U:U&gt;=C36-L36)*(U:U&lt;=C36+L36), 0))</f>
        <v>SIJ26</v>
      </c>
      <c r="K36" s="2">
        <f t="shared" si="4"/>
        <v>46112</v>
      </c>
      <c r="L36" s="1">
        <v>15</v>
      </c>
      <c r="M36" s="1">
        <f t="shared" si="5"/>
        <v>11</v>
      </c>
      <c r="P36" s="1" t="s">
        <v>120</v>
      </c>
      <c r="Q36" s="2">
        <v>42703</v>
      </c>
      <c r="R36" s="2">
        <v>47114</v>
      </c>
      <c r="S36" s="2">
        <v>47114</v>
      </c>
      <c r="T36" s="5" t="s">
        <v>422</v>
      </c>
      <c r="U36" s="2">
        <f t="shared" si="8"/>
        <v>47114</v>
      </c>
      <c r="V36" t="str">
        <f t="shared" si="9"/>
        <v>NG</v>
      </c>
      <c r="W36" t="str">
        <f t="shared" si="6"/>
        <v>NYMEX</v>
      </c>
    </row>
    <row r="37" spans="1:23" x14ac:dyDescent="0.2">
      <c r="A37" s="1" t="s">
        <v>36</v>
      </c>
      <c r="B37" s="1" t="s">
        <v>37</v>
      </c>
      <c r="C37" s="2">
        <v>46192</v>
      </c>
      <c r="D37" s="1" t="str">
        <f t="shared" si="0"/>
        <v>SILV</v>
      </c>
      <c r="E37" s="1" t="s">
        <v>508</v>
      </c>
      <c r="F37" s="13" t="str">
        <f t="shared" si="1"/>
        <v>RUS:SVM2026-COMEX:SIN2026</v>
      </c>
      <c r="G37" s="2">
        <f t="shared" si="2"/>
        <v>46192</v>
      </c>
      <c r="H37" s="1" t="str">
        <f t="shared" si="3"/>
        <v>SILV-6.26</v>
      </c>
      <c r="I37" s="1" t="str">
        <f t="shared" si="7"/>
        <v>SIN26</v>
      </c>
      <c r="J37" s="1" t="str" cm="1">
        <f t="array" ref="J37">INDEX(P:P,MATCH(1, (V:V=E37)*(U:U&gt;=C37-L37)*(U:U&lt;=C37+L37), 0))</f>
        <v>SIN26</v>
      </c>
      <c r="K37" s="2">
        <f t="shared" si="4"/>
        <v>46203</v>
      </c>
      <c r="L37" s="1">
        <v>15</v>
      </c>
      <c r="M37" s="1">
        <f t="shared" si="5"/>
        <v>11</v>
      </c>
      <c r="P37" s="1" t="s">
        <v>121</v>
      </c>
      <c r="Q37" s="2">
        <v>42703</v>
      </c>
      <c r="R37" s="2">
        <v>47147</v>
      </c>
      <c r="S37" s="2">
        <v>47147</v>
      </c>
      <c r="T37" s="5" t="s">
        <v>422</v>
      </c>
      <c r="U37" s="2">
        <f t="shared" si="8"/>
        <v>47147</v>
      </c>
      <c r="V37" t="str">
        <f t="shared" si="9"/>
        <v>NG</v>
      </c>
      <c r="W37" t="str">
        <f t="shared" si="6"/>
        <v>NYMEX</v>
      </c>
    </row>
    <row r="38" spans="1:23" x14ac:dyDescent="0.2">
      <c r="A38" s="1" t="s">
        <v>60</v>
      </c>
      <c r="B38" s="1" t="s">
        <v>61</v>
      </c>
      <c r="C38" s="2">
        <v>46283</v>
      </c>
      <c r="D38" s="1" t="str">
        <f t="shared" si="0"/>
        <v>SILV</v>
      </c>
      <c r="E38" s="1" t="s">
        <v>508</v>
      </c>
      <c r="F38" s="13" t="str">
        <f t="shared" si="1"/>
        <v>RUS:SVU2026-COMEX:SIV2026</v>
      </c>
      <c r="G38" s="2">
        <f t="shared" si="2"/>
        <v>46283</v>
      </c>
      <c r="H38" s="1" t="str">
        <f t="shared" si="3"/>
        <v>SILV-9.26</v>
      </c>
      <c r="I38" s="1" t="str">
        <f t="shared" si="7"/>
        <v>SIV26</v>
      </c>
      <c r="J38" s="1" t="str" cm="1">
        <f t="array" ref="J38">INDEX(P:P,MATCH(1, (V:V=E38)*(U:U&gt;=C38-L38)*(U:U&lt;=C38+L38), 0))</f>
        <v>SIV26</v>
      </c>
      <c r="K38" s="2">
        <f t="shared" si="4"/>
        <v>46295</v>
      </c>
      <c r="L38" s="1">
        <v>15</v>
      </c>
      <c r="M38" s="1">
        <f t="shared" si="5"/>
        <v>12</v>
      </c>
      <c r="P38" s="1" t="s">
        <v>122</v>
      </c>
      <c r="Q38" s="2">
        <v>42703</v>
      </c>
      <c r="R38" s="2">
        <v>47175</v>
      </c>
      <c r="S38" s="2">
        <v>47175</v>
      </c>
      <c r="T38" s="5" t="s">
        <v>422</v>
      </c>
      <c r="U38" s="2">
        <f t="shared" si="8"/>
        <v>47175</v>
      </c>
      <c r="V38" t="str">
        <f t="shared" si="9"/>
        <v>NG</v>
      </c>
      <c r="W38" t="str">
        <f t="shared" si="6"/>
        <v>NYMEX</v>
      </c>
    </row>
    <row r="39" spans="1:23" x14ac:dyDescent="0.2">
      <c r="A39" s="1" t="s">
        <v>76</v>
      </c>
      <c r="B39" s="1" t="s">
        <v>77</v>
      </c>
      <c r="C39" s="2">
        <v>46374</v>
      </c>
      <c r="D39" s="1" t="str">
        <f t="shared" si="0"/>
        <v>SILV</v>
      </c>
      <c r="E39" s="1" t="s">
        <v>508</v>
      </c>
      <c r="F39" s="13" t="str">
        <f t="shared" si="1"/>
        <v>RUS:SVZ2026-COMEX:SIF2027</v>
      </c>
      <c r="G39" s="2">
        <f t="shared" si="2"/>
        <v>46374</v>
      </c>
      <c r="H39" s="1" t="str">
        <f t="shared" si="3"/>
        <v>SILV-12.26</v>
      </c>
      <c r="I39" s="1" t="str">
        <f t="shared" si="7"/>
        <v>SIF27</v>
      </c>
      <c r="J39" s="1" t="str" cm="1">
        <f t="array" ref="J39">INDEX(P:P,MATCH(1, (V:V=E39)*(U:U&gt;=C39-L39)*(U:U&lt;=C39+L39), 0))</f>
        <v>SIF27</v>
      </c>
      <c r="K39" s="2">
        <f t="shared" si="4"/>
        <v>46387</v>
      </c>
      <c r="L39" s="1">
        <v>15</v>
      </c>
      <c r="M39" s="1">
        <f t="shared" si="5"/>
        <v>13</v>
      </c>
      <c r="P39" s="1" t="s">
        <v>123</v>
      </c>
      <c r="Q39" s="2">
        <v>42703</v>
      </c>
      <c r="R39" s="2">
        <v>47204</v>
      </c>
      <c r="S39" s="2">
        <v>47204</v>
      </c>
      <c r="T39" s="5" t="s">
        <v>422</v>
      </c>
      <c r="U39" s="2">
        <f t="shared" si="8"/>
        <v>47204</v>
      </c>
      <c r="V39" t="str">
        <f t="shared" si="9"/>
        <v>NG</v>
      </c>
      <c r="W39" t="str">
        <f t="shared" si="6"/>
        <v>NYMEX</v>
      </c>
    </row>
    <row r="40" spans="1:23" x14ac:dyDescent="0.2">
      <c r="A40" s="1" t="s">
        <v>4</v>
      </c>
      <c r="B40" s="1" t="s">
        <v>5</v>
      </c>
      <c r="C40" s="2">
        <v>46101</v>
      </c>
      <c r="D40" s="1" t="str">
        <f t="shared" si="0"/>
        <v>GOLD</v>
      </c>
      <c r="E40" s="1" t="s">
        <v>510</v>
      </c>
      <c r="F40" s="13" t="str">
        <f t="shared" si="1"/>
        <v>RUS:GDH2026-COMEX_MINI:MGCJ2026</v>
      </c>
      <c r="G40" s="2">
        <f t="shared" si="2"/>
        <v>46101</v>
      </c>
      <c r="H40" s="1" t="str">
        <f t="shared" si="3"/>
        <v>GOLD-3.26</v>
      </c>
      <c r="I40" s="1" t="str">
        <f t="shared" si="7"/>
        <v>MGCJ26</v>
      </c>
      <c r="J40" s="1" t="str" cm="1">
        <f t="array" ref="J40">INDEX(P:P,MATCH(1, (V:V=E40)*(U:U&gt;=C40-L40)*(U:U&lt;=C40+L40), 0))</f>
        <v>MGCJ26</v>
      </c>
      <c r="K40" s="2">
        <f t="shared" si="4"/>
        <v>46112</v>
      </c>
      <c r="L40" s="1">
        <v>15</v>
      </c>
      <c r="M40" s="1">
        <f t="shared" si="5"/>
        <v>11</v>
      </c>
      <c r="P40" s="1" t="s">
        <v>124</v>
      </c>
      <c r="Q40" s="2">
        <v>42703</v>
      </c>
      <c r="R40" s="2">
        <v>47234</v>
      </c>
      <c r="S40" s="2">
        <v>47234</v>
      </c>
      <c r="T40" s="5" t="s">
        <v>422</v>
      </c>
      <c r="U40" s="2">
        <f t="shared" si="8"/>
        <v>47234</v>
      </c>
      <c r="V40" t="str">
        <f t="shared" si="9"/>
        <v>NG</v>
      </c>
      <c r="W40" t="str">
        <f t="shared" si="6"/>
        <v>NYMEX</v>
      </c>
    </row>
    <row r="41" spans="1:23" x14ac:dyDescent="0.2">
      <c r="A41" s="1" t="s">
        <v>34</v>
      </c>
      <c r="B41" s="1" t="s">
        <v>35</v>
      </c>
      <c r="C41" s="2">
        <v>46192</v>
      </c>
      <c r="D41" s="1" t="str">
        <f t="shared" si="0"/>
        <v>GOLD</v>
      </c>
      <c r="E41" s="1" t="s">
        <v>510</v>
      </c>
      <c r="F41" s="13" t="str">
        <f t="shared" si="1"/>
        <v>RUS:GDM2026-COMEX_MINI:MGCM2026</v>
      </c>
      <c r="G41" s="2">
        <f t="shared" si="2"/>
        <v>46171</v>
      </c>
      <c r="H41" s="1" t="str">
        <f t="shared" si="3"/>
        <v>GOLD-6.26</v>
      </c>
      <c r="I41" s="1" t="str">
        <f t="shared" si="7"/>
        <v>MGCM26</v>
      </c>
      <c r="J41" s="1" t="str" cm="1">
        <f t="array" ref="J41">INDEX(P:P,MATCH(1, (V:V=E41)*(U:U&gt;=C41-L41)*(U:U&lt;=C41+L41), 0))</f>
        <v>MGCM26</v>
      </c>
      <c r="K41" s="2">
        <f t="shared" si="4"/>
        <v>46171</v>
      </c>
      <c r="L41" s="1">
        <v>30</v>
      </c>
      <c r="M41" s="1">
        <f t="shared" si="5"/>
        <v>-21</v>
      </c>
      <c r="P41" s="1" t="s">
        <v>125</v>
      </c>
      <c r="Q41" s="2">
        <v>42703</v>
      </c>
      <c r="R41" s="2">
        <v>47267</v>
      </c>
      <c r="S41" s="2">
        <v>47267</v>
      </c>
      <c r="T41" s="5" t="s">
        <v>422</v>
      </c>
      <c r="U41" s="2">
        <f t="shared" si="8"/>
        <v>47267</v>
      </c>
      <c r="V41" t="str">
        <f t="shared" si="9"/>
        <v>NG</v>
      </c>
      <c r="W41" t="str">
        <f t="shared" si="6"/>
        <v>NYMEX</v>
      </c>
    </row>
    <row r="42" spans="1:23" x14ac:dyDescent="0.2">
      <c r="A42" s="1" t="s">
        <v>58</v>
      </c>
      <c r="B42" s="1" t="s">
        <v>59</v>
      </c>
      <c r="C42" s="2">
        <v>46283</v>
      </c>
      <c r="D42" s="1" t="str">
        <f t="shared" si="0"/>
        <v>GOLD</v>
      </c>
      <c r="E42" s="1" t="s">
        <v>510</v>
      </c>
      <c r="F42" s="13" t="str">
        <f t="shared" si="1"/>
        <v>RUS:GDU2026-COMEX_MINI:MGCV2026</v>
      </c>
      <c r="G42" s="2">
        <f t="shared" si="2"/>
        <v>46283</v>
      </c>
      <c r="H42" s="1" t="str">
        <f t="shared" si="3"/>
        <v>GOLD-9.26</v>
      </c>
      <c r="I42" s="1" t="str">
        <f t="shared" si="7"/>
        <v>MGCV26</v>
      </c>
      <c r="J42" s="1" t="str" cm="1">
        <f t="array" ref="J42">INDEX(P:P,MATCH(1, (V:V=E42)*(U:U&gt;=C42-L42)*(U:U&lt;=C42+L42), 0))</f>
        <v>MGCV26</v>
      </c>
      <c r="K42" s="2">
        <f t="shared" si="4"/>
        <v>46295</v>
      </c>
      <c r="L42" s="1">
        <v>15</v>
      </c>
      <c r="M42" s="1">
        <f t="shared" si="5"/>
        <v>12</v>
      </c>
      <c r="P42" s="1" t="s">
        <v>126</v>
      </c>
      <c r="Q42" s="2">
        <v>42703</v>
      </c>
      <c r="R42" s="2">
        <v>47296</v>
      </c>
      <c r="S42" s="2">
        <v>47296</v>
      </c>
      <c r="T42" s="5" t="s">
        <v>422</v>
      </c>
      <c r="U42" s="2">
        <f t="shared" si="8"/>
        <v>47296</v>
      </c>
      <c r="V42" t="str">
        <f t="shared" si="9"/>
        <v>NG</v>
      </c>
      <c r="W42" t="str">
        <f t="shared" si="6"/>
        <v>NYMEX</v>
      </c>
    </row>
    <row r="43" spans="1:23" x14ac:dyDescent="0.2">
      <c r="A43" s="1" t="s">
        <v>74</v>
      </c>
      <c r="B43" s="1" t="s">
        <v>75</v>
      </c>
      <c r="C43" s="2">
        <v>46374</v>
      </c>
      <c r="D43" s="1" t="str">
        <f t="shared" si="0"/>
        <v>GOLD</v>
      </c>
      <c r="E43" s="1" t="s">
        <v>510</v>
      </c>
      <c r="F43" s="13" t="str">
        <f t="shared" si="1"/>
        <v>RUS:GDZ2026-COMEX_MINI:MGCZ2026</v>
      </c>
      <c r="G43" s="2">
        <f t="shared" si="2"/>
        <v>46356</v>
      </c>
      <c r="H43" s="1" t="str">
        <f t="shared" si="3"/>
        <v>GOLD-12.26</v>
      </c>
      <c r="I43" s="1" t="str">
        <f t="shared" si="7"/>
        <v>MGCZ26</v>
      </c>
      <c r="J43" s="1" t="str" cm="1">
        <f t="array" ref="J43">INDEX(P:P,MATCH(1, (V:V=E43)*(U:U&gt;=C43-L43)*(U:U&lt;=C43+L43), 0))</f>
        <v>MGCZ26</v>
      </c>
      <c r="K43" s="2">
        <f t="shared" si="4"/>
        <v>46356</v>
      </c>
      <c r="L43" s="1">
        <v>30</v>
      </c>
      <c r="M43" s="1">
        <f t="shared" si="5"/>
        <v>-18</v>
      </c>
      <c r="P43" s="1" t="s">
        <v>127</v>
      </c>
      <c r="Q43" s="2">
        <v>42703</v>
      </c>
      <c r="R43" s="2">
        <v>47326</v>
      </c>
      <c r="S43" s="2">
        <v>47326</v>
      </c>
      <c r="T43" s="5" t="s">
        <v>422</v>
      </c>
      <c r="U43" s="2">
        <f t="shared" si="8"/>
        <v>47326</v>
      </c>
      <c r="V43" t="str">
        <f t="shared" si="9"/>
        <v>NG</v>
      </c>
      <c r="W43" t="str">
        <f t="shared" si="6"/>
        <v>NYMEX</v>
      </c>
    </row>
    <row r="44" spans="1:23" x14ac:dyDescent="0.2">
      <c r="A44" s="1" t="s">
        <v>6</v>
      </c>
      <c r="B44" s="1" t="s">
        <v>7</v>
      </c>
      <c r="C44" s="2">
        <v>46101</v>
      </c>
      <c r="D44" s="1" t="str">
        <f t="shared" si="0"/>
        <v>SILV</v>
      </c>
      <c r="E44" s="1" t="s">
        <v>511</v>
      </c>
      <c r="F44" s="13" t="str">
        <f t="shared" si="1"/>
        <v>RUS:SVH2026-COMEX_MINI:SILJ2026</v>
      </c>
      <c r="G44" s="2">
        <f t="shared" si="2"/>
        <v>46101</v>
      </c>
      <c r="H44" s="1" t="str">
        <f t="shared" si="3"/>
        <v>SILV-3.26</v>
      </c>
      <c r="I44" s="1" t="str">
        <f t="shared" si="7"/>
        <v>SILJ26</v>
      </c>
      <c r="J44" s="1" t="str" cm="1">
        <f t="array" ref="J44">INDEX(P:P,MATCH(1, (V:V=E44)*(U:U&gt;=C44-L44)*(U:U&lt;=C44+L44), 0))</f>
        <v>SILJ26</v>
      </c>
      <c r="K44" s="2">
        <f t="shared" si="4"/>
        <v>46112</v>
      </c>
      <c r="L44" s="1">
        <v>15</v>
      </c>
      <c r="M44" s="1">
        <f t="shared" si="5"/>
        <v>11</v>
      </c>
      <c r="P44" s="1" t="s">
        <v>128</v>
      </c>
      <c r="Q44" s="2">
        <v>42703</v>
      </c>
      <c r="R44" s="2">
        <v>47359</v>
      </c>
      <c r="S44" s="2">
        <v>47359</v>
      </c>
      <c r="T44" s="5" t="s">
        <v>422</v>
      </c>
      <c r="U44" s="2">
        <f t="shared" si="8"/>
        <v>47359</v>
      </c>
      <c r="V44" t="str">
        <f t="shared" si="9"/>
        <v>NG</v>
      </c>
      <c r="W44" t="str">
        <f t="shared" si="6"/>
        <v>NYMEX</v>
      </c>
    </row>
    <row r="45" spans="1:23" x14ac:dyDescent="0.2">
      <c r="A45" s="1" t="s">
        <v>36</v>
      </c>
      <c r="B45" s="1" t="s">
        <v>37</v>
      </c>
      <c r="C45" s="2">
        <v>46192</v>
      </c>
      <c r="D45" s="1" t="str">
        <f t="shared" si="0"/>
        <v>SILV</v>
      </c>
      <c r="E45" s="1" t="s">
        <v>511</v>
      </c>
      <c r="F45" s="13" t="str">
        <f t="shared" si="1"/>
        <v>RUS:SVM2026-COMEX_MINI:SILN2026</v>
      </c>
      <c r="G45" s="2">
        <f t="shared" si="2"/>
        <v>46192</v>
      </c>
      <c r="H45" s="1" t="str">
        <f t="shared" si="3"/>
        <v>SILV-6.26</v>
      </c>
      <c r="I45" s="1" t="str">
        <f t="shared" si="7"/>
        <v>SILN26</v>
      </c>
      <c r="J45" s="1" t="str" cm="1">
        <f t="array" ref="J45">INDEX(P:P,MATCH(1, (V:V=E45)*(U:U&gt;=C45-L45)*(U:U&lt;=C45+L45), 0))</f>
        <v>SILN26</v>
      </c>
      <c r="K45" s="2">
        <f t="shared" si="4"/>
        <v>46203</v>
      </c>
      <c r="L45" s="1">
        <v>15</v>
      </c>
      <c r="M45" s="1">
        <f t="shared" si="5"/>
        <v>11</v>
      </c>
      <c r="P45" s="1" t="s">
        <v>129</v>
      </c>
      <c r="Q45" s="2">
        <v>42703</v>
      </c>
      <c r="R45" s="2">
        <v>47387</v>
      </c>
      <c r="S45" s="2">
        <v>47387</v>
      </c>
      <c r="T45" s="5" t="s">
        <v>422</v>
      </c>
      <c r="U45" s="2">
        <f t="shared" si="8"/>
        <v>47387</v>
      </c>
      <c r="V45" t="str">
        <f t="shared" si="9"/>
        <v>NG</v>
      </c>
      <c r="W45" t="str">
        <f t="shared" si="6"/>
        <v>NYMEX</v>
      </c>
    </row>
    <row r="46" spans="1:23" x14ac:dyDescent="0.2">
      <c r="A46" s="1" t="s">
        <v>60</v>
      </c>
      <c r="B46" s="1" t="s">
        <v>61</v>
      </c>
      <c r="C46" s="2">
        <v>46283</v>
      </c>
      <c r="D46" s="1" t="str">
        <f t="shared" si="0"/>
        <v>SILV</v>
      </c>
      <c r="E46" s="1" t="s">
        <v>511</v>
      </c>
      <c r="F46" s="13" t="e">
        <f t="shared" si="1"/>
        <v>#N/A</v>
      </c>
      <c r="G46" s="2" t="e">
        <f t="shared" si="2"/>
        <v>#N/A</v>
      </c>
      <c r="H46" s="1" t="str">
        <f t="shared" si="3"/>
        <v>SILV-9.26</v>
      </c>
      <c r="I46" s="1" t="e">
        <f t="shared" si="7"/>
        <v>#N/A</v>
      </c>
      <c r="J46" s="1" t="e" cm="1">
        <f t="array" ref="J46">INDEX(P:P,MATCH(1, (V:V=E46)*(U:U&gt;=C46-L46)*(U:U&lt;=C46+L46), 0))</f>
        <v>#N/A</v>
      </c>
      <c r="K46" s="2" t="e">
        <f t="shared" si="4"/>
        <v>#N/A</v>
      </c>
      <c r="L46" s="1">
        <v>15</v>
      </c>
      <c r="M46" s="1" t="e">
        <f t="shared" si="5"/>
        <v>#N/A</v>
      </c>
      <c r="P46" s="1" t="s">
        <v>130</v>
      </c>
      <c r="Q46" s="2">
        <v>42703</v>
      </c>
      <c r="R46" s="2">
        <v>47420</v>
      </c>
      <c r="S46" s="2">
        <v>47420</v>
      </c>
      <c r="T46" s="5" t="s">
        <v>422</v>
      </c>
      <c r="U46" s="2">
        <f t="shared" si="8"/>
        <v>47420</v>
      </c>
      <c r="V46" t="str">
        <f t="shared" si="9"/>
        <v>NG</v>
      </c>
      <c r="W46" t="str">
        <f t="shared" si="6"/>
        <v>NYMEX</v>
      </c>
    </row>
    <row r="47" spans="1:23" x14ac:dyDescent="0.2">
      <c r="A47" s="1" t="s">
        <v>2</v>
      </c>
      <c r="B47" s="1" t="s">
        <v>3</v>
      </c>
      <c r="C47" s="2">
        <v>46100</v>
      </c>
      <c r="D47" s="1" t="str">
        <f t="shared" si="0"/>
        <v>UCNY</v>
      </c>
      <c r="E47" s="1" t="s">
        <v>518</v>
      </c>
      <c r="F47" s="13" t="e">
        <f t="shared" si="1"/>
        <v>#N/A</v>
      </c>
      <c r="G47" s="2" t="e">
        <f t="shared" si="2"/>
        <v>#N/A</v>
      </c>
      <c r="H47" s="1" t="str">
        <f t="shared" si="3"/>
        <v>UCNY-3.26</v>
      </c>
      <c r="I47" s="1" t="e">
        <f t="shared" si="7"/>
        <v>#N/A</v>
      </c>
      <c r="J47" s="1" t="e" cm="1">
        <f t="array" ref="J47">INDEX(P:P,MATCH(1, (V:V=E47)*(U:U&gt;=C47-L47)*(U:U&lt;=C47+L47), 0))</f>
        <v>#N/A</v>
      </c>
      <c r="K47" s="2" t="e">
        <f t="shared" si="4"/>
        <v>#N/A</v>
      </c>
      <c r="M47" s="1" t="e">
        <f t="shared" si="5"/>
        <v>#N/A</v>
      </c>
      <c r="P47" s="1" t="s">
        <v>131</v>
      </c>
      <c r="Q47" s="2">
        <v>42703</v>
      </c>
      <c r="R47" s="2">
        <v>47450</v>
      </c>
      <c r="S47" s="2">
        <v>47450</v>
      </c>
      <c r="T47" s="5" t="s">
        <v>422</v>
      </c>
      <c r="U47" s="2">
        <f t="shared" si="8"/>
        <v>47450</v>
      </c>
      <c r="V47" t="str">
        <f t="shared" si="9"/>
        <v>NG</v>
      </c>
      <c r="W47" t="str">
        <f t="shared" si="6"/>
        <v>NYMEX</v>
      </c>
    </row>
    <row r="48" spans="1:23" x14ac:dyDescent="0.2">
      <c r="A48" s="1" t="s">
        <v>32</v>
      </c>
      <c r="B48" s="1" t="s">
        <v>33</v>
      </c>
      <c r="C48" s="2">
        <v>46191</v>
      </c>
      <c r="D48" s="1" t="str">
        <f t="shared" si="0"/>
        <v>UCNY</v>
      </c>
      <c r="E48" s="1" t="s">
        <v>518</v>
      </c>
      <c r="F48" s="13" t="e">
        <f t="shared" si="1"/>
        <v>#N/A</v>
      </c>
      <c r="G48" s="2" t="e">
        <f t="shared" si="2"/>
        <v>#N/A</v>
      </c>
      <c r="H48" s="1" t="str">
        <f t="shared" si="3"/>
        <v>UCNY-6.26</v>
      </c>
      <c r="I48" s="1" t="e">
        <f t="shared" si="7"/>
        <v>#N/A</v>
      </c>
      <c r="J48" s="1" t="e" cm="1">
        <f t="array" ref="J48">INDEX(P:P,MATCH(1, (V:V=E48)*(U:U&gt;=C48-L48)*(U:U&lt;=C48+L48), 0))</f>
        <v>#N/A</v>
      </c>
      <c r="K48" s="2" t="e">
        <f t="shared" si="4"/>
        <v>#N/A</v>
      </c>
      <c r="M48" s="1" t="e">
        <f t="shared" si="5"/>
        <v>#N/A</v>
      </c>
      <c r="P48" s="1" t="s">
        <v>132</v>
      </c>
      <c r="Q48" s="2">
        <v>43068</v>
      </c>
      <c r="R48" s="2">
        <v>47479</v>
      </c>
      <c r="S48" s="2">
        <v>47479</v>
      </c>
      <c r="T48" s="5" t="s">
        <v>422</v>
      </c>
      <c r="U48" s="2">
        <f t="shared" si="8"/>
        <v>47479</v>
      </c>
      <c r="V48" t="str">
        <f t="shared" si="9"/>
        <v>NG</v>
      </c>
      <c r="W48" t="str">
        <f t="shared" si="6"/>
        <v>NYMEX</v>
      </c>
    </row>
    <row r="49" spans="1:23" x14ac:dyDescent="0.2">
      <c r="A49" s="1" t="s">
        <v>56</v>
      </c>
      <c r="B49" s="1" t="s">
        <v>57</v>
      </c>
      <c r="C49" s="2">
        <v>46282</v>
      </c>
      <c r="D49" s="1" t="str">
        <f t="shared" si="0"/>
        <v>UCNY</v>
      </c>
      <c r="E49" s="1" t="s">
        <v>518</v>
      </c>
      <c r="F49" s="13" t="e">
        <f t="shared" si="1"/>
        <v>#N/A</v>
      </c>
      <c r="G49" s="2" t="e">
        <f t="shared" si="2"/>
        <v>#N/A</v>
      </c>
      <c r="H49" s="1" t="str">
        <f t="shared" si="3"/>
        <v>UCNY-9.26</v>
      </c>
      <c r="I49" s="1" t="e">
        <f t="shared" si="7"/>
        <v>#N/A</v>
      </c>
      <c r="J49" s="1" t="e" cm="1">
        <f t="array" ref="J49">INDEX(P:P,MATCH(1, (V:V=E49)*(U:U&gt;=C49-L49)*(U:U&lt;=C49+L49), 0))</f>
        <v>#N/A</v>
      </c>
      <c r="K49" s="2" t="e">
        <f t="shared" si="4"/>
        <v>#N/A</v>
      </c>
      <c r="M49" s="1" t="e">
        <f t="shared" si="5"/>
        <v>#N/A</v>
      </c>
      <c r="P49" s="1" t="s">
        <v>133</v>
      </c>
      <c r="Q49" s="2">
        <v>43068</v>
      </c>
      <c r="R49" s="2">
        <v>47512</v>
      </c>
      <c r="S49" s="2">
        <v>47512</v>
      </c>
      <c r="T49" s="5" t="s">
        <v>422</v>
      </c>
      <c r="U49" s="2">
        <f t="shared" si="8"/>
        <v>47512</v>
      </c>
      <c r="V49" t="str">
        <f t="shared" si="9"/>
        <v>NG</v>
      </c>
      <c r="W49" t="str">
        <f t="shared" si="6"/>
        <v>NYMEX</v>
      </c>
    </row>
    <row r="50" spans="1:23" x14ac:dyDescent="0.2">
      <c r="A50" s="1" t="s">
        <v>72</v>
      </c>
      <c r="B50" s="1" t="s">
        <v>73</v>
      </c>
      <c r="C50" s="2">
        <v>46373</v>
      </c>
      <c r="D50" s="1" t="str">
        <f t="shared" si="0"/>
        <v>UCNY</v>
      </c>
      <c r="E50" s="1" t="s">
        <v>518</v>
      </c>
      <c r="F50" s="13" t="e">
        <f t="shared" si="1"/>
        <v>#N/A</v>
      </c>
      <c r="G50" s="2" t="e">
        <f t="shared" si="2"/>
        <v>#N/A</v>
      </c>
      <c r="H50" s="1" t="str">
        <f t="shared" si="3"/>
        <v>UCNY-12.26</v>
      </c>
      <c r="I50" s="1" t="e">
        <f t="shared" si="7"/>
        <v>#N/A</v>
      </c>
      <c r="J50" s="1" t="e" cm="1">
        <f t="array" ref="J50">INDEX(P:P,MATCH(1, (V:V=E50)*(U:U&gt;=C50-L50)*(U:U&lt;=C50+L50), 0))</f>
        <v>#N/A</v>
      </c>
      <c r="K50" s="2" t="e">
        <f t="shared" si="4"/>
        <v>#N/A</v>
      </c>
      <c r="M50" s="1" t="e">
        <f t="shared" si="5"/>
        <v>#N/A</v>
      </c>
      <c r="P50" s="1" t="s">
        <v>134</v>
      </c>
      <c r="Q50" s="2">
        <v>43068</v>
      </c>
      <c r="R50" s="2">
        <v>47540</v>
      </c>
      <c r="S50" s="2">
        <v>47540</v>
      </c>
      <c r="T50" s="5" t="s">
        <v>422</v>
      </c>
      <c r="U50" s="2">
        <f t="shared" si="8"/>
        <v>47540</v>
      </c>
      <c r="V50" t="str">
        <f t="shared" si="9"/>
        <v>NG</v>
      </c>
      <c r="W50" t="str">
        <f t="shared" si="6"/>
        <v>NYMEX</v>
      </c>
    </row>
    <row r="51" spans="1:23" x14ac:dyDescent="0.2">
      <c r="P51" s="1" t="s">
        <v>135</v>
      </c>
      <c r="Q51" s="2">
        <v>43068</v>
      </c>
      <c r="R51" s="2">
        <v>47569</v>
      </c>
      <c r="S51" s="2">
        <v>47569</v>
      </c>
      <c r="T51" s="5" t="s">
        <v>422</v>
      </c>
      <c r="U51" s="2">
        <f t="shared" si="8"/>
        <v>47569</v>
      </c>
      <c r="V51" t="str">
        <f t="shared" si="9"/>
        <v>NG</v>
      </c>
      <c r="W51" t="str">
        <f t="shared" si="6"/>
        <v>NYMEX</v>
      </c>
    </row>
    <row r="52" spans="1:23" x14ac:dyDescent="0.2">
      <c r="P52" s="1" t="s">
        <v>136</v>
      </c>
      <c r="Q52" s="2">
        <v>43068</v>
      </c>
      <c r="R52" s="2">
        <v>47599</v>
      </c>
      <c r="S52" s="2">
        <v>47599</v>
      </c>
      <c r="T52" s="5" t="s">
        <v>422</v>
      </c>
      <c r="U52" s="2">
        <f t="shared" si="8"/>
        <v>47599</v>
      </c>
      <c r="V52" t="str">
        <f t="shared" si="9"/>
        <v>NG</v>
      </c>
      <c r="W52" t="str">
        <f t="shared" si="6"/>
        <v>NYMEX</v>
      </c>
    </row>
    <row r="53" spans="1:23" x14ac:dyDescent="0.2">
      <c r="P53" s="1" t="s">
        <v>137</v>
      </c>
      <c r="Q53" s="2">
        <v>43068</v>
      </c>
      <c r="R53" s="2">
        <v>47632</v>
      </c>
      <c r="S53" s="2">
        <v>47632</v>
      </c>
      <c r="T53" s="5" t="s">
        <v>422</v>
      </c>
      <c r="U53" s="2">
        <f t="shared" si="8"/>
        <v>47632</v>
      </c>
      <c r="V53" t="str">
        <f t="shared" si="9"/>
        <v>NG</v>
      </c>
      <c r="W53" t="str">
        <f t="shared" si="6"/>
        <v>NYMEX</v>
      </c>
    </row>
    <row r="54" spans="1:23" x14ac:dyDescent="0.2">
      <c r="P54" s="1" t="s">
        <v>138</v>
      </c>
      <c r="Q54" s="2">
        <v>43068</v>
      </c>
      <c r="R54" s="2">
        <v>47660</v>
      </c>
      <c r="S54" s="2">
        <v>47660</v>
      </c>
      <c r="T54" s="5" t="s">
        <v>422</v>
      </c>
      <c r="U54" s="2">
        <f t="shared" si="8"/>
        <v>47660</v>
      </c>
      <c r="V54" t="str">
        <f t="shared" si="9"/>
        <v>NG</v>
      </c>
      <c r="W54" t="str">
        <f t="shared" si="6"/>
        <v>NYMEX</v>
      </c>
    </row>
    <row r="55" spans="1:23" x14ac:dyDescent="0.2">
      <c r="P55" s="1" t="s">
        <v>139</v>
      </c>
      <c r="Q55" s="2">
        <v>43068</v>
      </c>
      <c r="R55" s="2">
        <v>47693</v>
      </c>
      <c r="S55" s="2">
        <v>47693</v>
      </c>
      <c r="T55" s="5" t="s">
        <v>422</v>
      </c>
      <c r="U55" s="2">
        <f t="shared" si="8"/>
        <v>47693</v>
      </c>
      <c r="V55" t="str">
        <f t="shared" si="9"/>
        <v>NG</v>
      </c>
      <c r="W55" t="str">
        <f t="shared" si="6"/>
        <v>NYMEX</v>
      </c>
    </row>
    <row r="56" spans="1:23" x14ac:dyDescent="0.2">
      <c r="P56" s="1" t="s">
        <v>140</v>
      </c>
      <c r="Q56" s="2">
        <v>43068</v>
      </c>
      <c r="R56" s="2">
        <v>47723</v>
      </c>
      <c r="S56" s="2">
        <v>47723</v>
      </c>
      <c r="T56" s="5" t="s">
        <v>422</v>
      </c>
      <c r="U56" s="2">
        <f t="shared" si="8"/>
        <v>47723</v>
      </c>
      <c r="V56" t="str">
        <f t="shared" si="9"/>
        <v>NG</v>
      </c>
      <c r="W56" t="str">
        <f t="shared" si="6"/>
        <v>NYMEX</v>
      </c>
    </row>
    <row r="57" spans="1:23" x14ac:dyDescent="0.2">
      <c r="P57" s="1" t="s">
        <v>141</v>
      </c>
      <c r="Q57" s="2">
        <v>43068</v>
      </c>
      <c r="R57" s="2">
        <v>47752</v>
      </c>
      <c r="S57" s="2">
        <v>47752</v>
      </c>
      <c r="T57" s="5" t="s">
        <v>422</v>
      </c>
      <c r="U57" s="2">
        <f t="shared" si="8"/>
        <v>47752</v>
      </c>
      <c r="V57" t="str">
        <f t="shared" si="9"/>
        <v>NG</v>
      </c>
      <c r="W57" t="str">
        <f t="shared" si="6"/>
        <v>NYMEX</v>
      </c>
    </row>
    <row r="58" spans="1:23" x14ac:dyDescent="0.2">
      <c r="P58" s="1" t="s">
        <v>142</v>
      </c>
      <c r="Q58" s="2">
        <v>43068</v>
      </c>
      <c r="R58" s="2">
        <v>47785</v>
      </c>
      <c r="S58" s="2">
        <v>47785</v>
      </c>
      <c r="T58" s="5" t="s">
        <v>422</v>
      </c>
      <c r="U58" s="2">
        <f t="shared" si="8"/>
        <v>47785</v>
      </c>
      <c r="V58" t="str">
        <f t="shared" si="9"/>
        <v>NG</v>
      </c>
      <c r="W58" t="str">
        <f t="shared" si="6"/>
        <v>NYMEX</v>
      </c>
    </row>
    <row r="59" spans="1:23" x14ac:dyDescent="0.2">
      <c r="P59" s="1" t="s">
        <v>143</v>
      </c>
      <c r="Q59" s="2">
        <v>43068</v>
      </c>
      <c r="R59" s="2">
        <v>47813</v>
      </c>
      <c r="S59" s="2">
        <v>47813</v>
      </c>
      <c r="T59" s="5" t="s">
        <v>422</v>
      </c>
      <c r="U59" s="2">
        <f t="shared" si="8"/>
        <v>47813</v>
      </c>
      <c r="V59" t="str">
        <f t="shared" si="9"/>
        <v>NG</v>
      </c>
      <c r="W59" t="str">
        <f t="shared" si="6"/>
        <v>NYMEX</v>
      </c>
    </row>
    <row r="60" spans="1:23" x14ac:dyDescent="0.2">
      <c r="P60" s="1" t="s">
        <v>144</v>
      </c>
      <c r="Q60" s="2">
        <v>43433</v>
      </c>
      <c r="R60" s="2">
        <v>47844</v>
      </c>
      <c r="S60" s="2">
        <v>47844</v>
      </c>
      <c r="T60" s="5" t="s">
        <v>422</v>
      </c>
      <c r="U60" s="2">
        <f t="shared" si="8"/>
        <v>47844</v>
      </c>
      <c r="V60" t="str">
        <f t="shared" si="9"/>
        <v>NG</v>
      </c>
      <c r="W60" t="str">
        <f t="shared" si="6"/>
        <v>NYMEX</v>
      </c>
    </row>
    <row r="61" spans="1:23" x14ac:dyDescent="0.2">
      <c r="P61" s="1" t="s">
        <v>145</v>
      </c>
      <c r="Q61" s="2">
        <v>43433</v>
      </c>
      <c r="R61" s="2">
        <v>47877</v>
      </c>
      <c r="S61" s="2">
        <v>47877</v>
      </c>
      <c r="T61" s="5" t="s">
        <v>422</v>
      </c>
      <c r="U61" s="2">
        <f t="shared" si="8"/>
        <v>47877</v>
      </c>
      <c r="V61" t="str">
        <f t="shared" si="9"/>
        <v>NG</v>
      </c>
      <c r="W61" t="str">
        <f t="shared" si="6"/>
        <v>NYMEX</v>
      </c>
    </row>
    <row r="62" spans="1:23" x14ac:dyDescent="0.2">
      <c r="P62" s="1" t="s">
        <v>146</v>
      </c>
      <c r="Q62" s="2">
        <v>43433</v>
      </c>
      <c r="R62" s="2">
        <v>47905</v>
      </c>
      <c r="S62" s="2">
        <v>47905</v>
      </c>
      <c r="T62" s="5" t="s">
        <v>422</v>
      </c>
      <c r="U62" s="2">
        <f t="shared" si="8"/>
        <v>47905</v>
      </c>
      <c r="V62" t="str">
        <f t="shared" si="9"/>
        <v>NG</v>
      </c>
      <c r="W62" t="str">
        <f t="shared" si="6"/>
        <v>NYMEX</v>
      </c>
    </row>
    <row r="63" spans="1:23" x14ac:dyDescent="0.2">
      <c r="P63" s="1" t="s">
        <v>147</v>
      </c>
      <c r="Q63" s="2">
        <v>43433</v>
      </c>
      <c r="R63" s="2">
        <v>47934</v>
      </c>
      <c r="S63" s="2">
        <v>47934</v>
      </c>
      <c r="T63" s="5" t="s">
        <v>422</v>
      </c>
      <c r="U63" s="2">
        <f t="shared" si="8"/>
        <v>47934</v>
      </c>
      <c r="V63" t="str">
        <f t="shared" si="9"/>
        <v>NG</v>
      </c>
      <c r="W63" t="str">
        <f t="shared" si="6"/>
        <v>NYMEX</v>
      </c>
    </row>
    <row r="64" spans="1:23" x14ac:dyDescent="0.2">
      <c r="P64" s="1" t="s">
        <v>148</v>
      </c>
      <c r="Q64" s="2">
        <v>43433</v>
      </c>
      <c r="R64" s="2">
        <v>47966</v>
      </c>
      <c r="S64" s="2">
        <v>47966</v>
      </c>
      <c r="T64" s="5" t="s">
        <v>422</v>
      </c>
      <c r="U64" s="2">
        <f t="shared" si="8"/>
        <v>47966</v>
      </c>
      <c r="V64" t="str">
        <f t="shared" si="9"/>
        <v>NG</v>
      </c>
      <c r="W64" t="str">
        <f t="shared" si="6"/>
        <v>NYMEX</v>
      </c>
    </row>
    <row r="65" spans="16:23" x14ac:dyDescent="0.2">
      <c r="P65" s="1" t="s">
        <v>149</v>
      </c>
      <c r="Q65" s="2">
        <v>43433</v>
      </c>
      <c r="R65" s="2">
        <v>47996</v>
      </c>
      <c r="S65" s="2">
        <v>47996</v>
      </c>
      <c r="T65" s="5" t="s">
        <v>422</v>
      </c>
      <c r="U65" s="2">
        <f t="shared" si="8"/>
        <v>47996</v>
      </c>
      <c r="V65" t="str">
        <f t="shared" si="9"/>
        <v>NG</v>
      </c>
      <c r="W65" t="str">
        <f t="shared" si="6"/>
        <v>NYMEX</v>
      </c>
    </row>
    <row r="66" spans="16:23" x14ac:dyDescent="0.2">
      <c r="P66" s="1" t="s">
        <v>150</v>
      </c>
      <c r="Q66" s="2">
        <v>43433</v>
      </c>
      <c r="R66" s="2">
        <v>48025</v>
      </c>
      <c r="S66" s="2">
        <v>48025</v>
      </c>
      <c r="T66" s="5" t="s">
        <v>422</v>
      </c>
      <c r="U66" s="2">
        <f t="shared" si="8"/>
        <v>48025</v>
      </c>
      <c r="V66" t="str">
        <f t="shared" si="9"/>
        <v>NG</v>
      </c>
      <c r="W66" t="str">
        <f t="shared" si="6"/>
        <v>NYMEX</v>
      </c>
    </row>
    <row r="67" spans="16:23" x14ac:dyDescent="0.2">
      <c r="P67" s="1" t="s">
        <v>151</v>
      </c>
      <c r="Q67" s="2">
        <v>43433</v>
      </c>
      <c r="R67" s="2">
        <v>48058</v>
      </c>
      <c r="S67" s="2">
        <v>48058</v>
      </c>
      <c r="T67" s="5" t="s">
        <v>422</v>
      </c>
      <c r="U67" s="2">
        <f t="shared" si="8"/>
        <v>48058</v>
      </c>
      <c r="V67" t="str">
        <f t="shared" si="9"/>
        <v>NG</v>
      </c>
      <c r="W67" t="str">
        <f t="shared" ref="W67:W130" si="10">IFERROR(INDEX(AC:AC, MATCH(V67,AB:AB,0)),"---")</f>
        <v>NYMEX</v>
      </c>
    </row>
    <row r="68" spans="16:23" x14ac:dyDescent="0.2">
      <c r="P68" s="1" t="s">
        <v>152</v>
      </c>
      <c r="Q68" s="2">
        <v>43433</v>
      </c>
      <c r="R68" s="2">
        <v>48087</v>
      </c>
      <c r="S68" s="2">
        <v>48087</v>
      </c>
      <c r="T68" s="5" t="s">
        <v>422</v>
      </c>
      <c r="U68" s="2">
        <f t="shared" ref="U68:U131" si="11">MIN(R68:T68)</f>
        <v>48087</v>
      </c>
      <c r="V68" t="str">
        <f t="shared" ref="V68:V131" si="12">MID(P68,1,LEN(P68)-3)</f>
        <v>NG</v>
      </c>
      <c r="W68" t="str">
        <f t="shared" si="10"/>
        <v>NYMEX</v>
      </c>
    </row>
    <row r="69" spans="16:23" x14ac:dyDescent="0.2">
      <c r="P69" s="1" t="s">
        <v>153</v>
      </c>
      <c r="Q69" s="2">
        <v>43433</v>
      </c>
      <c r="R69" s="2">
        <v>48117</v>
      </c>
      <c r="S69" s="2">
        <v>48117</v>
      </c>
      <c r="T69" s="5" t="s">
        <v>422</v>
      </c>
      <c r="U69" s="2">
        <f t="shared" si="11"/>
        <v>48117</v>
      </c>
      <c r="V69" t="str">
        <f t="shared" si="12"/>
        <v>NG</v>
      </c>
      <c r="W69" t="str">
        <f t="shared" si="10"/>
        <v>NYMEX</v>
      </c>
    </row>
    <row r="70" spans="16:23" x14ac:dyDescent="0.2">
      <c r="P70" s="1" t="s">
        <v>154</v>
      </c>
      <c r="Q70" s="2">
        <v>43433</v>
      </c>
      <c r="R70" s="2">
        <v>48150</v>
      </c>
      <c r="S70" s="2">
        <v>48150</v>
      </c>
      <c r="T70" s="5" t="s">
        <v>422</v>
      </c>
      <c r="U70" s="2">
        <f t="shared" si="11"/>
        <v>48150</v>
      </c>
      <c r="V70" t="str">
        <f t="shared" si="12"/>
        <v>NG</v>
      </c>
      <c r="W70" t="str">
        <f t="shared" si="10"/>
        <v>NYMEX</v>
      </c>
    </row>
    <row r="71" spans="16:23" x14ac:dyDescent="0.2">
      <c r="P71" s="1" t="s">
        <v>155</v>
      </c>
      <c r="Q71" s="2">
        <v>43433</v>
      </c>
      <c r="R71" s="2">
        <v>48177</v>
      </c>
      <c r="S71" s="2">
        <v>48177</v>
      </c>
      <c r="T71" s="5" t="s">
        <v>422</v>
      </c>
      <c r="U71" s="2">
        <f t="shared" si="11"/>
        <v>48177</v>
      </c>
      <c r="V71" t="str">
        <f t="shared" si="12"/>
        <v>NG</v>
      </c>
      <c r="W71" t="str">
        <f t="shared" si="10"/>
        <v>NYMEX</v>
      </c>
    </row>
    <row r="72" spans="16:23" x14ac:dyDescent="0.2">
      <c r="P72" s="1" t="s">
        <v>156</v>
      </c>
      <c r="Q72" s="2">
        <v>43796</v>
      </c>
      <c r="R72" s="2">
        <v>48211</v>
      </c>
      <c r="S72" s="2">
        <v>48211</v>
      </c>
      <c r="T72" s="5" t="s">
        <v>422</v>
      </c>
      <c r="U72" s="2">
        <f t="shared" si="11"/>
        <v>48211</v>
      </c>
      <c r="V72" t="str">
        <f t="shared" si="12"/>
        <v>NG</v>
      </c>
      <c r="W72" t="str">
        <f t="shared" si="10"/>
        <v>NYMEX</v>
      </c>
    </row>
    <row r="73" spans="16:23" x14ac:dyDescent="0.2">
      <c r="P73" s="1" t="s">
        <v>157</v>
      </c>
      <c r="Q73" s="2">
        <v>43796</v>
      </c>
      <c r="R73" s="2">
        <v>48241</v>
      </c>
      <c r="S73" s="2">
        <v>48241</v>
      </c>
      <c r="T73" s="5" t="s">
        <v>422</v>
      </c>
      <c r="U73" s="2">
        <f t="shared" si="11"/>
        <v>48241</v>
      </c>
      <c r="V73" t="str">
        <f t="shared" si="12"/>
        <v>NG</v>
      </c>
      <c r="W73" t="str">
        <f t="shared" si="10"/>
        <v>NYMEX</v>
      </c>
    </row>
    <row r="74" spans="16:23" x14ac:dyDescent="0.2">
      <c r="P74" s="1" t="s">
        <v>158</v>
      </c>
      <c r="Q74" s="2">
        <v>43796</v>
      </c>
      <c r="R74" s="2">
        <v>48269</v>
      </c>
      <c r="S74" s="2">
        <v>48269</v>
      </c>
      <c r="T74" s="5" t="s">
        <v>422</v>
      </c>
      <c r="U74" s="2">
        <f t="shared" si="11"/>
        <v>48269</v>
      </c>
      <c r="V74" t="str">
        <f t="shared" si="12"/>
        <v>NG</v>
      </c>
      <c r="W74" t="str">
        <f t="shared" si="10"/>
        <v>NYMEX</v>
      </c>
    </row>
    <row r="75" spans="16:23" x14ac:dyDescent="0.2">
      <c r="P75" s="1" t="s">
        <v>159</v>
      </c>
      <c r="Q75" s="2">
        <v>43796</v>
      </c>
      <c r="R75" s="2">
        <v>48302</v>
      </c>
      <c r="S75" s="2">
        <v>48302</v>
      </c>
      <c r="T75" s="5" t="s">
        <v>422</v>
      </c>
      <c r="U75" s="2">
        <f t="shared" si="11"/>
        <v>48302</v>
      </c>
      <c r="V75" t="str">
        <f t="shared" si="12"/>
        <v>NG</v>
      </c>
      <c r="W75" t="str">
        <f t="shared" si="10"/>
        <v>NYMEX</v>
      </c>
    </row>
    <row r="76" spans="16:23" x14ac:dyDescent="0.2">
      <c r="P76" s="1" t="s">
        <v>160</v>
      </c>
      <c r="Q76" s="2">
        <v>43796</v>
      </c>
      <c r="R76" s="2">
        <v>48332</v>
      </c>
      <c r="S76" s="2">
        <v>48332</v>
      </c>
      <c r="T76" s="5" t="s">
        <v>422</v>
      </c>
      <c r="U76" s="2">
        <f t="shared" si="11"/>
        <v>48332</v>
      </c>
      <c r="V76" t="str">
        <f t="shared" si="12"/>
        <v>NG</v>
      </c>
      <c r="W76" t="str">
        <f t="shared" si="10"/>
        <v>NYMEX</v>
      </c>
    </row>
    <row r="77" spans="16:23" x14ac:dyDescent="0.2">
      <c r="P77" s="1" t="s">
        <v>161</v>
      </c>
      <c r="Q77" s="2">
        <v>43796</v>
      </c>
      <c r="R77" s="2">
        <v>48360</v>
      </c>
      <c r="S77" s="2">
        <v>48360</v>
      </c>
      <c r="T77" s="5" t="s">
        <v>422</v>
      </c>
      <c r="U77" s="2">
        <f t="shared" si="11"/>
        <v>48360</v>
      </c>
      <c r="V77" t="str">
        <f t="shared" si="12"/>
        <v>NG</v>
      </c>
      <c r="W77" t="str">
        <f t="shared" si="10"/>
        <v>NYMEX</v>
      </c>
    </row>
    <row r="78" spans="16:23" x14ac:dyDescent="0.2">
      <c r="P78" s="1" t="s">
        <v>162</v>
      </c>
      <c r="Q78" s="2">
        <v>43796</v>
      </c>
      <c r="R78" s="2">
        <v>48393</v>
      </c>
      <c r="S78" s="2">
        <v>48393</v>
      </c>
      <c r="T78" s="5" t="s">
        <v>422</v>
      </c>
      <c r="U78" s="2">
        <f t="shared" si="11"/>
        <v>48393</v>
      </c>
      <c r="V78" t="str">
        <f t="shared" si="12"/>
        <v>NG</v>
      </c>
      <c r="W78" t="str">
        <f t="shared" si="10"/>
        <v>NYMEX</v>
      </c>
    </row>
    <row r="79" spans="16:23" x14ac:dyDescent="0.2">
      <c r="P79" s="1" t="s">
        <v>163</v>
      </c>
      <c r="Q79" s="2">
        <v>43796</v>
      </c>
      <c r="R79" s="2">
        <v>48423</v>
      </c>
      <c r="S79" s="2">
        <v>48423</v>
      </c>
      <c r="T79" s="5" t="s">
        <v>422</v>
      </c>
      <c r="U79" s="2">
        <f t="shared" si="11"/>
        <v>48423</v>
      </c>
      <c r="V79" t="str">
        <f t="shared" si="12"/>
        <v>NG</v>
      </c>
      <c r="W79" t="str">
        <f t="shared" si="10"/>
        <v>NYMEX</v>
      </c>
    </row>
    <row r="80" spans="16:23" x14ac:dyDescent="0.2">
      <c r="P80" s="1" t="s">
        <v>164</v>
      </c>
      <c r="Q80" s="2">
        <v>43796</v>
      </c>
      <c r="R80" s="2">
        <v>48453</v>
      </c>
      <c r="S80" s="2">
        <v>48453</v>
      </c>
      <c r="T80" s="5" t="s">
        <v>422</v>
      </c>
      <c r="U80" s="2">
        <f t="shared" si="11"/>
        <v>48453</v>
      </c>
      <c r="V80" t="str">
        <f t="shared" si="12"/>
        <v>NG</v>
      </c>
      <c r="W80" t="str">
        <f t="shared" si="10"/>
        <v>NYMEX</v>
      </c>
    </row>
    <row r="81" spans="16:23" x14ac:dyDescent="0.2">
      <c r="P81" s="1" t="s">
        <v>165</v>
      </c>
      <c r="Q81" s="2">
        <v>43796</v>
      </c>
      <c r="R81" s="2">
        <v>48485</v>
      </c>
      <c r="S81" s="2">
        <v>48485</v>
      </c>
      <c r="T81" s="5" t="s">
        <v>422</v>
      </c>
      <c r="U81" s="2">
        <f t="shared" si="11"/>
        <v>48485</v>
      </c>
      <c r="V81" t="str">
        <f t="shared" si="12"/>
        <v>NG</v>
      </c>
      <c r="W81" t="str">
        <f t="shared" si="10"/>
        <v>NYMEX</v>
      </c>
    </row>
    <row r="82" spans="16:23" x14ac:dyDescent="0.2">
      <c r="P82" s="1" t="s">
        <v>166</v>
      </c>
      <c r="Q82" s="2">
        <v>43796</v>
      </c>
      <c r="R82" s="2">
        <v>48514</v>
      </c>
      <c r="S82" s="2">
        <v>48514</v>
      </c>
      <c r="T82" s="5" t="s">
        <v>422</v>
      </c>
      <c r="U82" s="2">
        <f t="shared" si="11"/>
        <v>48514</v>
      </c>
      <c r="V82" t="str">
        <f t="shared" si="12"/>
        <v>NG</v>
      </c>
      <c r="W82" t="str">
        <f t="shared" si="10"/>
        <v>NYMEX</v>
      </c>
    </row>
    <row r="83" spans="16:23" x14ac:dyDescent="0.2">
      <c r="P83" s="1" t="s">
        <v>167</v>
      </c>
      <c r="Q83" s="2">
        <v>43796</v>
      </c>
      <c r="R83" s="2">
        <v>48544</v>
      </c>
      <c r="S83" s="2">
        <v>48544</v>
      </c>
      <c r="T83" s="5" t="s">
        <v>422</v>
      </c>
      <c r="U83" s="2">
        <f t="shared" si="11"/>
        <v>48544</v>
      </c>
      <c r="V83" t="str">
        <f t="shared" si="12"/>
        <v>NG</v>
      </c>
      <c r="W83" t="str">
        <f t="shared" si="10"/>
        <v>NYMEX</v>
      </c>
    </row>
    <row r="84" spans="16:23" x14ac:dyDescent="0.2">
      <c r="P84" s="1" t="s">
        <v>168</v>
      </c>
      <c r="Q84" s="2">
        <v>44162</v>
      </c>
      <c r="R84" s="2">
        <v>48577</v>
      </c>
      <c r="S84" s="2">
        <v>48577</v>
      </c>
      <c r="T84" s="5" t="s">
        <v>422</v>
      </c>
      <c r="U84" s="2">
        <f t="shared" si="11"/>
        <v>48577</v>
      </c>
      <c r="V84" t="str">
        <f t="shared" si="12"/>
        <v>NG</v>
      </c>
      <c r="W84" t="str">
        <f t="shared" si="10"/>
        <v>NYMEX</v>
      </c>
    </row>
    <row r="85" spans="16:23" x14ac:dyDescent="0.2">
      <c r="P85" s="1" t="s">
        <v>169</v>
      </c>
      <c r="Q85" s="2">
        <v>44162</v>
      </c>
      <c r="R85" s="2">
        <v>48606</v>
      </c>
      <c r="S85" s="2">
        <v>48606</v>
      </c>
      <c r="T85" s="5" t="s">
        <v>422</v>
      </c>
      <c r="U85" s="2">
        <f t="shared" si="11"/>
        <v>48606</v>
      </c>
      <c r="V85" t="str">
        <f t="shared" si="12"/>
        <v>NG</v>
      </c>
      <c r="W85" t="str">
        <f t="shared" si="10"/>
        <v>NYMEX</v>
      </c>
    </row>
    <row r="86" spans="16:23" x14ac:dyDescent="0.2">
      <c r="P86" s="1" t="s">
        <v>170</v>
      </c>
      <c r="Q86" s="2">
        <v>44162</v>
      </c>
      <c r="R86" s="2">
        <v>48634</v>
      </c>
      <c r="S86" s="2">
        <v>48634</v>
      </c>
      <c r="T86" s="5" t="s">
        <v>422</v>
      </c>
      <c r="U86" s="2">
        <f t="shared" si="11"/>
        <v>48634</v>
      </c>
      <c r="V86" t="str">
        <f t="shared" si="12"/>
        <v>NG</v>
      </c>
      <c r="W86" t="str">
        <f t="shared" si="10"/>
        <v>NYMEX</v>
      </c>
    </row>
    <row r="87" spans="16:23" x14ac:dyDescent="0.2">
      <c r="P87" s="1" t="s">
        <v>171</v>
      </c>
      <c r="Q87" s="2">
        <v>44162</v>
      </c>
      <c r="R87" s="2">
        <v>48667</v>
      </c>
      <c r="S87" s="2">
        <v>48667</v>
      </c>
      <c r="T87" s="5" t="s">
        <v>422</v>
      </c>
      <c r="U87" s="2">
        <f t="shared" si="11"/>
        <v>48667</v>
      </c>
      <c r="V87" t="str">
        <f t="shared" si="12"/>
        <v>NG</v>
      </c>
      <c r="W87" t="str">
        <f t="shared" si="10"/>
        <v>NYMEX</v>
      </c>
    </row>
    <row r="88" spans="16:23" x14ac:dyDescent="0.2">
      <c r="P88" s="1" t="s">
        <v>172</v>
      </c>
      <c r="Q88" s="2">
        <v>44162</v>
      </c>
      <c r="R88" s="2">
        <v>48696</v>
      </c>
      <c r="S88" s="2">
        <v>48696</v>
      </c>
      <c r="T88" s="5" t="s">
        <v>422</v>
      </c>
      <c r="U88" s="2">
        <f t="shared" si="11"/>
        <v>48696</v>
      </c>
      <c r="V88" t="str">
        <f t="shared" si="12"/>
        <v>NG</v>
      </c>
      <c r="W88" t="str">
        <f t="shared" si="10"/>
        <v>NYMEX</v>
      </c>
    </row>
    <row r="89" spans="16:23" x14ac:dyDescent="0.2">
      <c r="P89" s="1" t="s">
        <v>173</v>
      </c>
      <c r="Q89" s="2">
        <v>44162</v>
      </c>
      <c r="R89" s="2">
        <v>48725</v>
      </c>
      <c r="S89" s="2">
        <v>48725</v>
      </c>
      <c r="T89" s="5" t="s">
        <v>422</v>
      </c>
      <c r="U89" s="2">
        <f t="shared" si="11"/>
        <v>48725</v>
      </c>
      <c r="V89" t="str">
        <f t="shared" si="12"/>
        <v>NG</v>
      </c>
      <c r="W89" t="str">
        <f t="shared" si="10"/>
        <v>NYMEX</v>
      </c>
    </row>
    <row r="90" spans="16:23" x14ac:dyDescent="0.2">
      <c r="P90" s="1" t="s">
        <v>174</v>
      </c>
      <c r="Q90" s="2">
        <v>44162</v>
      </c>
      <c r="R90" s="2">
        <v>48758</v>
      </c>
      <c r="S90" s="2">
        <v>48758</v>
      </c>
      <c r="T90" s="5" t="s">
        <v>422</v>
      </c>
      <c r="U90" s="2">
        <f t="shared" si="11"/>
        <v>48758</v>
      </c>
      <c r="V90" t="str">
        <f t="shared" si="12"/>
        <v>NG</v>
      </c>
      <c r="W90" t="str">
        <f t="shared" si="10"/>
        <v>NYMEX</v>
      </c>
    </row>
    <row r="91" spans="16:23" x14ac:dyDescent="0.2">
      <c r="P91" s="1" t="s">
        <v>175</v>
      </c>
      <c r="Q91" s="2">
        <v>44162</v>
      </c>
      <c r="R91" s="2">
        <v>48787</v>
      </c>
      <c r="S91" s="2">
        <v>48787</v>
      </c>
      <c r="T91" s="5" t="s">
        <v>422</v>
      </c>
      <c r="U91" s="2">
        <f t="shared" si="11"/>
        <v>48787</v>
      </c>
      <c r="V91" t="str">
        <f t="shared" si="12"/>
        <v>NG</v>
      </c>
      <c r="W91" t="str">
        <f t="shared" si="10"/>
        <v>NYMEX</v>
      </c>
    </row>
    <row r="92" spans="16:23" x14ac:dyDescent="0.2">
      <c r="P92" s="1" t="s">
        <v>176</v>
      </c>
      <c r="Q92" s="2">
        <v>44162</v>
      </c>
      <c r="R92" s="2">
        <v>48820</v>
      </c>
      <c r="S92" s="2">
        <v>48820</v>
      </c>
      <c r="T92" s="5" t="s">
        <v>422</v>
      </c>
      <c r="U92" s="2">
        <f t="shared" si="11"/>
        <v>48820</v>
      </c>
      <c r="V92" t="str">
        <f t="shared" si="12"/>
        <v>NG</v>
      </c>
      <c r="W92" t="str">
        <f t="shared" si="10"/>
        <v>NYMEX</v>
      </c>
    </row>
    <row r="93" spans="16:23" x14ac:dyDescent="0.2">
      <c r="P93" s="1" t="s">
        <v>177</v>
      </c>
      <c r="Q93" s="2">
        <v>44162</v>
      </c>
      <c r="R93" s="2">
        <v>48850</v>
      </c>
      <c r="S93" s="2">
        <v>48850</v>
      </c>
      <c r="T93" s="5" t="s">
        <v>422</v>
      </c>
      <c r="U93" s="2">
        <f t="shared" si="11"/>
        <v>48850</v>
      </c>
      <c r="V93" t="str">
        <f t="shared" si="12"/>
        <v>NG</v>
      </c>
      <c r="W93" t="str">
        <f t="shared" si="10"/>
        <v>NYMEX</v>
      </c>
    </row>
    <row r="94" spans="16:23" x14ac:dyDescent="0.2">
      <c r="P94" s="1" t="s">
        <v>178</v>
      </c>
      <c r="Q94" s="2">
        <v>44162</v>
      </c>
      <c r="R94" s="2">
        <v>48879</v>
      </c>
      <c r="S94" s="2">
        <v>48879</v>
      </c>
      <c r="T94" s="5" t="s">
        <v>422</v>
      </c>
      <c r="U94" s="2">
        <f t="shared" si="11"/>
        <v>48879</v>
      </c>
      <c r="V94" t="str">
        <f t="shared" si="12"/>
        <v>NG</v>
      </c>
      <c r="W94" t="str">
        <f t="shared" si="10"/>
        <v>NYMEX</v>
      </c>
    </row>
    <row r="95" spans="16:23" x14ac:dyDescent="0.2">
      <c r="P95" s="1" t="s">
        <v>179</v>
      </c>
      <c r="Q95" s="2">
        <v>44162</v>
      </c>
      <c r="R95" s="2">
        <v>48911</v>
      </c>
      <c r="S95" s="2">
        <v>48911</v>
      </c>
      <c r="T95" s="5" t="s">
        <v>422</v>
      </c>
      <c r="U95" s="2">
        <f t="shared" si="11"/>
        <v>48911</v>
      </c>
      <c r="V95" t="str">
        <f t="shared" si="12"/>
        <v>NG</v>
      </c>
      <c r="W95" t="str">
        <f t="shared" si="10"/>
        <v>NYMEX</v>
      </c>
    </row>
    <row r="96" spans="16:23" x14ac:dyDescent="0.2">
      <c r="P96" s="1" t="s">
        <v>180</v>
      </c>
      <c r="Q96" s="2">
        <v>44529</v>
      </c>
      <c r="R96" s="2">
        <v>48941</v>
      </c>
      <c r="S96" s="2">
        <v>48941</v>
      </c>
      <c r="T96" s="5" t="s">
        <v>422</v>
      </c>
      <c r="U96" s="2">
        <f t="shared" si="11"/>
        <v>48941</v>
      </c>
      <c r="V96" t="str">
        <f t="shared" si="12"/>
        <v>NG</v>
      </c>
      <c r="W96" t="str">
        <f t="shared" si="10"/>
        <v>NYMEX</v>
      </c>
    </row>
    <row r="97" spans="16:23" x14ac:dyDescent="0.2">
      <c r="P97" s="1" t="s">
        <v>181</v>
      </c>
      <c r="Q97" s="2">
        <v>44529</v>
      </c>
      <c r="R97" s="2">
        <v>48971</v>
      </c>
      <c r="S97" s="2">
        <v>48971</v>
      </c>
      <c r="T97" s="5" t="s">
        <v>422</v>
      </c>
      <c r="U97" s="2">
        <f t="shared" si="11"/>
        <v>48971</v>
      </c>
      <c r="V97" t="str">
        <f t="shared" si="12"/>
        <v>NG</v>
      </c>
      <c r="W97" t="str">
        <f t="shared" si="10"/>
        <v>NYMEX</v>
      </c>
    </row>
    <row r="98" spans="16:23" x14ac:dyDescent="0.2">
      <c r="P98" s="1" t="s">
        <v>182</v>
      </c>
      <c r="Q98" s="2">
        <v>44529</v>
      </c>
      <c r="R98" s="2">
        <v>48999</v>
      </c>
      <c r="S98" s="2">
        <v>48999</v>
      </c>
      <c r="T98" s="5" t="s">
        <v>422</v>
      </c>
      <c r="U98" s="2">
        <f t="shared" si="11"/>
        <v>48999</v>
      </c>
      <c r="V98" t="str">
        <f t="shared" si="12"/>
        <v>NG</v>
      </c>
      <c r="W98" t="str">
        <f t="shared" si="10"/>
        <v>NYMEX</v>
      </c>
    </row>
    <row r="99" spans="16:23" x14ac:dyDescent="0.2">
      <c r="P99" s="1" t="s">
        <v>183</v>
      </c>
      <c r="Q99" s="2">
        <v>44529</v>
      </c>
      <c r="R99" s="2">
        <v>49032</v>
      </c>
      <c r="S99" s="2">
        <v>49032</v>
      </c>
      <c r="T99" s="5" t="s">
        <v>422</v>
      </c>
      <c r="U99" s="2">
        <f t="shared" si="11"/>
        <v>49032</v>
      </c>
      <c r="V99" t="str">
        <f t="shared" si="12"/>
        <v>NG</v>
      </c>
      <c r="W99" t="str">
        <f t="shared" si="10"/>
        <v>NYMEX</v>
      </c>
    </row>
    <row r="100" spans="16:23" x14ac:dyDescent="0.2">
      <c r="P100" s="1" t="s">
        <v>184</v>
      </c>
      <c r="Q100" s="2">
        <v>44529</v>
      </c>
      <c r="R100" s="2">
        <v>49060</v>
      </c>
      <c r="S100" s="2">
        <v>49060</v>
      </c>
      <c r="T100" s="5" t="s">
        <v>422</v>
      </c>
      <c r="U100" s="2">
        <f t="shared" si="11"/>
        <v>49060</v>
      </c>
      <c r="V100" t="str">
        <f t="shared" si="12"/>
        <v>NG</v>
      </c>
      <c r="W100" t="str">
        <f t="shared" si="10"/>
        <v>NYMEX</v>
      </c>
    </row>
    <row r="101" spans="16:23" x14ac:dyDescent="0.2">
      <c r="P101" s="1" t="s">
        <v>185</v>
      </c>
      <c r="Q101" s="2">
        <v>44529</v>
      </c>
      <c r="R101" s="2">
        <v>49090</v>
      </c>
      <c r="S101" s="2">
        <v>49090</v>
      </c>
      <c r="T101" s="5" t="s">
        <v>422</v>
      </c>
      <c r="U101" s="2">
        <f t="shared" si="11"/>
        <v>49090</v>
      </c>
      <c r="V101" t="str">
        <f t="shared" si="12"/>
        <v>NG</v>
      </c>
      <c r="W101" t="str">
        <f t="shared" si="10"/>
        <v>NYMEX</v>
      </c>
    </row>
    <row r="102" spans="16:23" x14ac:dyDescent="0.2">
      <c r="P102" s="1" t="s">
        <v>186</v>
      </c>
      <c r="Q102" s="2">
        <v>44529</v>
      </c>
      <c r="R102" s="2">
        <v>49123</v>
      </c>
      <c r="S102" s="2">
        <v>49123</v>
      </c>
      <c r="T102" s="5" t="s">
        <v>422</v>
      </c>
      <c r="U102" s="2">
        <f t="shared" si="11"/>
        <v>49123</v>
      </c>
      <c r="V102" t="str">
        <f t="shared" si="12"/>
        <v>NG</v>
      </c>
      <c r="W102" t="str">
        <f t="shared" si="10"/>
        <v>NYMEX</v>
      </c>
    </row>
    <row r="103" spans="16:23" x14ac:dyDescent="0.2">
      <c r="P103" s="1" t="s">
        <v>187</v>
      </c>
      <c r="Q103" s="2">
        <v>44529</v>
      </c>
      <c r="R103" s="2">
        <v>49152</v>
      </c>
      <c r="S103" s="2">
        <v>49152</v>
      </c>
      <c r="T103" s="5" t="s">
        <v>422</v>
      </c>
      <c r="U103" s="2">
        <f t="shared" si="11"/>
        <v>49152</v>
      </c>
      <c r="V103" t="str">
        <f t="shared" si="12"/>
        <v>NG</v>
      </c>
      <c r="W103" t="str">
        <f t="shared" si="10"/>
        <v>NYMEX</v>
      </c>
    </row>
    <row r="104" spans="16:23" x14ac:dyDescent="0.2">
      <c r="P104" s="1" t="s">
        <v>188</v>
      </c>
      <c r="Q104" s="2">
        <v>44529</v>
      </c>
      <c r="R104" s="2">
        <v>49185</v>
      </c>
      <c r="S104" s="2">
        <v>49185</v>
      </c>
      <c r="T104" s="5" t="s">
        <v>422</v>
      </c>
      <c r="U104" s="2">
        <f t="shared" si="11"/>
        <v>49185</v>
      </c>
      <c r="V104" t="str">
        <f t="shared" si="12"/>
        <v>NG</v>
      </c>
      <c r="W104" t="str">
        <f t="shared" si="10"/>
        <v>NYMEX</v>
      </c>
    </row>
    <row r="105" spans="16:23" x14ac:dyDescent="0.2">
      <c r="P105" s="1" t="s">
        <v>189</v>
      </c>
      <c r="Q105" s="2">
        <v>44529</v>
      </c>
      <c r="R105" s="2">
        <v>49214</v>
      </c>
      <c r="S105" s="2">
        <v>49214</v>
      </c>
      <c r="T105" s="5" t="s">
        <v>422</v>
      </c>
      <c r="U105" s="2">
        <f t="shared" si="11"/>
        <v>49214</v>
      </c>
      <c r="V105" t="str">
        <f t="shared" si="12"/>
        <v>NG</v>
      </c>
      <c r="W105" t="str">
        <f t="shared" si="10"/>
        <v>NYMEX</v>
      </c>
    </row>
    <row r="106" spans="16:23" x14ac:dyDescent="0.2">
      <c r="P106" s="1" t="s">
        <v>190</v>
      </c>
      <c r="Q106" s="2">
        <v>44529</v>
      </c>
      <c r="R106" s="2">
        <v>49244</v>
      </c>
      <c r="S106" s="2">
        <v>49244</v>
      </c>
      <c r="T106" s="5" t="s">
        <v>422</v>
      </c>
      <c r="U106" s="2">
        <f t="shared" si="11"/>
        <v>49244</v>
      </c>
      <c r="V106" t="str">
        <f t="shared" si="12"/>
        <v>NG</v>
      </c>
      <c r="W106" t="str">
        <f t="shared" si="10"/>
        <v>NYMEX</v>
      </c>
    </row>
    <row r="107" spans="16:23" x14ac:dyDescent="0.2">
      <c r="P107" s="1" t="s">
        <v>191</v>
      </c>
      <c r="Q107" s="2">
        <v>44529</v>
      </c>
      <c r="R107" s="2">
        <v>49276</v>
      </c>
      <c r="S107" s="2">
        <v>49276</v>
      </c>
      <c r="T107" s="5" t="s">
        <v>422</v>
      </c>
      <c r="U107" s="2">
        <f t="shared" si="11"/>
        <v>49276</v>
      </c>
      <c r="V107" t="str">
        <f t="shared" si="12"/>
        <v>NG</v>
      </c>
      <c r="W107" t="str">
        <f t="shared" si="10"/>
        <v>NYMEX</v>
      </c>
    </row>
    <row r="108" spans="16:23" x14ac:dyDescent="0.2">
      <c r="P108" s="1" t="s">
        <v>192</v>
      </c>
      <c r="Q108" s="2">
        <v>44894</v>
      </c>
      <c r="R108" s="2">
        <v>49305</v>
      </c>
      <c r="S108" s="2">
        <v>49305</v>
      </c>
      <c r="T108" s="5" t="s">
        <v>422</v>
      </c>
      <c r="U108" s="2">
        <f t="shared" si="11"/>
        <v>49305</v>
      </c>
      <c r="V108" t="str">
        <f t="shared" si="12"/>
        <v>NG</v>
      </c>
      <c r="W108" t="str">
        <f t="shared" si="10"/>
        <v>NYMEX</v>
      </c>
    </row>
    <row r="109" spans="16:23" x14ac:dyDescent="0.2">
      <c r="P109" s="1" t="s">
        <v>193</v>
      </c>
      <c r="Q109" s="2">
        <v>44894</v>
      </c>
      <c r="R109" s="2">
        <v>49338</v>
      </c>
      <c r="S109" s="2">
        <v>49338</v>
      </c>
      <c r="T109" s="5" t="s">
        <v>422</v>
      </c>
      <c r="U109" s="2">
        <f t="shared" si="11"/>
        <v>49338</v>
      </c>
      <c r="V109" t="str">
        <f t="shared" si="12"/>
        <v>NG</v>
      </c>
      <c r="W109" t="str">
        <f t="shared" si="10"/>
        <v>NYMEX</v>
      </c>
    </row>
    <row r="110" spans="16:23" x14ac:dyDescent="0.2">
      <c r="P110" s="1" t="s">
        <v>194</v>
      </c>
      <c r="Q110" s="2">
        <v>44894</v>
      </c>
      <c r="R110" s="2">
        <v>49366</v>
      </c>
      <c r="S110" s="2">
        <v>49366</v>
      </c>
      <c r="T110" s="5" t="s">
        <v>422</v>
      </c>
      <c r="U110" s="2">
        <f t="shared" si="11"/>
        <v>49366</v>
      </c>
      <c r="V110" t="str">
        <f t="shared" si="12"/>
        <v>NG</v>
      </c>
      <c r="W110" t="str">
        <f t="shared" si="10"/>
        <v>NYMEX</v>
      </c>
    </row>
    <row r="111" spans="16:23" x14ac:dyDescent="0.2">
      <c r="P111" s="1" t="s">
        <v>195</v>
      </c>
      <c r="Q111" s="2">
        <v>44894</v>
      </c>
      <c r="R111" s="2">
        <v>49396</v>
      </c>
      <c r="S111" s="2">
        <v>49396</v>
      </c>
      <c r="T111" s="5" t="s">
        <v>422</v>
      </c>
      <c r="U111" s="2">
        <f t="shared" si="11"/>
        <v>49396</v>
      </c>
      <c r="V111" t="str">
        <f t="shared" si="12"/>
        <v>NG</v>
      </c>
      <c r="W111" t="str">
        <f t="shared" si="10"/>
        <v>NYMEX</v>
      </c>
    </row>
    <row r="112" spans="16:23" x14ac:dyDescent="0.2">
      <c r="P112" s="1" t="s">
        <v>196</v>
      </c>
      <c r="Q112" s="2">
        <v>44894</v>
      </c>
      <c r="R112" s="2">
        <v>49425</v>
      </c>
      <c r="S112" s="2">
        <v>49425</v>
      </c>
      <c r="T112" s="5" t="s">
        <v>422</v>
      </c>
      <c r="U112" s="2">
        <f t="shared" si="11"/>
        <v>49425</v>
      </c>
      <c r="V112" t="str">
        <f t="shared" si="12"/>
        <v>NG</v>
      </c>
      <c r="W112" t="str">
        <f t="shared" si="10"/>
        <v>NYMEX</v>
      </c>
    </row>
    <row r="113" spans="16:23" x14ac:dyDescent="0.2">
      <c r="P113" s="1" t="s">
        <v>197</v>
      </c>
      <c r="Q113" s="2">
        <v>44894</v>
      </c>
      <c r="R113" s="2">
        <v>49458</v>
      </c>
      <c r="S113" s="2">
        <v>49458</v>
      </c>
      <c r="T113" s="5" t="s">
        <v>422</v>
      </c>
      <c r="U113" s="2">
        <f t="shared" si="11"/>
        <v>49458</v>
      </c>
      <c r="V113" t="str">
        <f t="shared" si="12"/>
        <v>NG</v>
      </c>
      <c r="W113" t="str">
        <f t="shared" si="10"/>
        <v>NYMEX</v>
      </c>
    </row>
    <row r="114" spans="16:23" x14ac:dyDescent="0.2">
      <c r="P114" s="1" t="s">
        <v>198</v>
      </c>
      <c r="Q114" s="2">
        <v>44894</v>
      </c>
      <c r="R114" s="2">
        <v>49487</v>
      </c>
      <c r="S114" s="2">
        <v>49487</v>
      </c>
      <c r="T114" s="5" t="s">
        <v>422</v>
      </c>
      <c r="U114" s="2">
        <f t="shared" si="11"/>
        <v>49487</v>
      </c>
      <c r="V114" t="str">
        <f t="shared" si="12"/>
        <v>NG</v>
      </c>
      <c r="W114" t="str">
        <f t="shared" si="10"/>
        <v>NYMEX</v>
      </c>
    </row>
    <row r="115" spans="16:23" x14ac:dyDescent="0.2">
      <c r="P115" s="1" t="s">
        <v>199</v>
      </c>
      <c r="Q115" s="2">
        <v>44894</v>
      </c>
      <c r="R115" s="2">
        <v>49517</v>
      </c>
      <c r="S115" s="2">
        <v>49517</v>
      </c>
      <c r="T115" s="5" t="s">
        <v>422</v>
      </c>
      <c r="U115" s="2">
        <f t="shared" si="11"/>
        <v>49517</v>
      </c>
      <c r="V115" t="str">
        <f t="shared" si="12"/>
        <v>NG</v>
      </c>
      <c r="W115" t="str">
        <f t="shared" si="10"/>
        <v>NYMEX</v>
      </c>
    </row>
    <row r="116" spans="16:23" x14ac:dyDescent="0.2">
      <c r="P116" s="1" t="s">
        <v>200</v>
      </c>
      <c r="Q116" s="2">
        <v>44894</v>
      </c>
      <c r="R116" s="2">
        <v>49550</v>
      </c>
      <c r="S116" s="2">
        <v>49550</v>
      </c>
      <c r="T116" s="5" t="s">
        <v>422</v>
      </c>
      <c r="U116" s="2">
        <f t="shared" si="11"/>
        <v>49550</v>
      </c>
      <c r="V116" t="str">
        <f t="shared" si="12"/>
        <v>NG</v>
      </c>
      <c r="W116" t="str">
        <f t="shared" si="10"/>
        <v>NYMEX</v>
      </c>
    </row>
    <row r="117" spans="16:23" x14ac:dyDescent="0.2">
      <c r="P117" s="1" t="s">
        <v>201</v>
      </c>
      <c r="Q117" s="2">
        <v>44894</v>
      </c>
      <c r="R117" s="2">
        <v>49578</v>
      </c>
      <c r="S117" s="2">
        <v>49578</v>
      </c>
      <c r="T117" s="5" t="s">
        <v>422</v>
      </c>
      <c r="U117" s="2">
        <f t="shared" si="11"/>
        <v>49578</v>
      </c>
      <c r="V117" t="str">
        <f t="shared" si="12"/>
        <v>NG</v>
      </c>
      <c r="W117" t="str">
        <f t="shared" si="10"/>
        <v>NYMEX</v>
      </c>
    </row>
    <row r="118" spans="16:23" x14ac:dyDescent="0.2">
      <c r="P118" s="1" t="s">
        <v>202</v>
      </c>
      <c r="Q118" s="2">
        <v>44894</v>
      </c>
      <c r="R118" s="2">
        <v>49611</v>
      </c>
      <c r="S118" s="2">
        <v>49611</v>
      </c>
      <c r="T118" s="5" t="s">
        <v>422</v>
      </c>
      <c r="U118" s="2">
        <f t="shared" si="11"/>
        <v>49611</v>
      </c>
      <c r="V118" t="str">
        <f t="shared" si="12"/>
        <v>NG</v>
      </c>
      <c r="W118" t="str">
        <f t="shared" si="10"/>
        <v>NYMEX</v>
      </c>
    </row>
    <row r="119" spans="16:23" x14ac:dyDescent="0.2">
      <c r="P119" s="1" t="s">
        <v>203</v>
      </c>
      <c r="Q119" s="2">
        <v>44894</v>
      </c>
      <c r="R119" s="2">
        <v>49641</v>
      </c>
      <c r="S119" s="2">
        <v>49641</v>
      </c>
      <c r="T119" s="5" t="s">
        <v>422</v>
      </c>
      <c r="U119" s="2">
        <f t="shared" si="11"/>
        <v>49641</v>
      </c>
      <c r="V119" t="str">
        <f t="shared" si="12"/>
        <v>NG</v>
      </c>
      <c r="W119" t="str">
        <f t="shared" si="10"/>
        <v>NYMEX</v>
      </c>
    </row>
    <row r="120" spans="16:23" x14ac:dyDescent="0.2">
      <c r="P120" s="1" t="s">
        <v>204</v>
      </c>
      <c r="Q120" s="2">
        <v>45259</v>
      </c>
      <c r="R120" s="2">
        <v>49670</v>
      </c>
      <c r="S120" s="2">
        <v>49670</v>
      </c>
      <c r="T120" s="5" t="s">
        <v>422</v>
      </c>
      <c r="U120" s="2">
        <f t="shared" si="11"/>
        <v>49670</v>
      </c>
      <c r="V120" t="str">
        <f t="shared" si="12"/>
        <v>NG</v>
      </c>
      <c r="W120" t="str">
        <f t="shared" si="10"/>
        <v>NYMEX</v>
      </c>
    </row>
    <row r="121" spans="16:23" x14ac:dyDescent="0.2">
      <c r="P121" s="1" t="s">
        <v>205</v>
      </c>
      <c r="Q121" s="2">
        <v>45259</v>
      </c>
      <c r="R121" s="2">
        <v>49703</v>
      </c>
      <c r="S121" s="2">
        <v>49703</v>
      </c>
      <c r="T121" s="5" t="s">
        <v>422</v>
      </c>
      <c r="U121" s="2">
        <f t="shared" si="11"/>
        <v>49703</v>
      </c>
      <c r="V121" t="str">
        <f t="shared" si="12"/>
        <v>NG</v>
      </c>
      <c r="W121" t="str">
        <f t="shared" si="10"/>
        <v>NYMEX</v>
      </c>
    </row>
    <row r="122" spans="16:23" x14ac:dyDescent="0.2">
      <c r="P122" s="1" t="s">
        <v>206</v>
      </c>
      <c r="Q122" s="2">
        <v>45259</v>
      </c>
      <c r="R122" s="2">
        <v>49732</v>
      </c>
      <c r="S122" s="2">
        <v>49732</v>
      </c>
      <c r="T122" s="5" t="s">
        <v>422</v>
      </c>
      <c r="U122" s="2">
        <f t="shared" si="11"/>
        <v>49732</v>
      </c>
      <c r="V122" t="str">
        <f t="shared" si="12"/>
        <v>NG</v>
      </c>
      <c r="W122" t="str">
        <f t="shared" si="10"/>
        <v>NYMEX</v>
      </c>
    </row>
    <row r="123" spans="16:23" x14ac:dyDescent="0.2">
      <c r="P123" s="1" t="s">
        <v>207</v>
      </c>
      <c r="Q123" s="2">
        <v>45259</v>
      </c>
      <c r="R123" s="2">
        <v>49761</v>
      </c>
      <c r="S123" s="2">
        <v>49761</v>
      </c>
      <c r="T123" s="5" t="s">
        <v>422</v>
      </c>
      <c r="U123" s="2">
        <f t="shared" si="11"/>
        <v>49761</v>
      </c>
      <c r="V123" t="str">
        <f t="shared" si="12"/>
        <v>NG</v>
      </c>
      <c r="W123" t="str">
        <f t="shared" si="10"/>
        <v>NYMEX</v>
      </c>
    </row>
    <row r="124" spans="16:23" x14ac:dyDescent="0.2">
      <c r="P124" s="1" t="s">
        <v>208</v>
      </c>
      <c r="Q124" s="2">
        <v>45259</v>
      </c>
      <c r="R124" s="2">
        <v>49793</v>
      </c>
      <c r="S124" s="2">
        <v>49793</v>
      </c>
      <c r="T124" s="5" t="s">
        <v>422</v>
      </c>
      <c r="U124" s="2">
        <f t="shared" si="11"/>
        <v>49793</v>
      </c>
      <c r="V124" t="str">
        <f t="shared" si="12"/>
        <v>NG</v>
      </c>
      <c r="W124" t="str">
        <f t="shared" si="10"/>
        <v>NYMEX</v>
      </c>
    </row>
    <row r="125" spans="16:23" x14ac:dyDescent="0.2">
      <c r="P125" s="1" t="s">
        <v>209</v>
      </c>
      <c r="Q125" s="2">
        <v>45259</v>
      </c>
      <c r="R125" s="2">
        <v>49823</v>
      </c>
      <c r="S125" s="2">
        <v>49823</v>
      </c>
      <c r="T125" s="5" t="s">
        <v>422</v>
      </c>
      <c r="U125" s="2">
        <f t="shared" si="11"/>
        <v>49823</v>
      </c>
      <c r="V125" t="str">
        <f t="shared" si="12"/>
        <v>NG</v>
      </c>
      <c r="W125" t="str">
        <f t="shared" si="10"/>
        <v>NYMEX</v>
      </c>
    </row>
    <row r="126" spans="16:23" x14ac:dyDescent="0.2">
      <c r="P126" s="1" t="s">
        <v>210</v>
      </c>
      <c r="Q126" s="2">
        <v>45259</v>
      </c>
      <c r="R126" s="2">
        <v>49852</v>
      </c>
      <c r="S126" s="2">
        <v>49852</v>
      </c>
      <c r="T126" s="5" t="s">
        <v>422</v>
      </c>
      <c r="U126" s="2">
        <f t="shared" si="11"/>
        <v>49852</v>
      </c>
      <c r="V126" t="str">
        <f t="shared" si="12"/>
        <v>NG</v>
      </c>
      <c r="W126" t="str">
        <f t="shared" si="10"/>
        <v>NYMEX</v>
      </c>
    </row>
    <row r="127" spans="16:23" x14ac:dyDescent="0.2">
      <c r="P127" s="1" t="s">
        <v>211</v>
      </c>
      <c r="Q127" s="2">
        <v>45259</v>
      </c>
      <c r="R127" s="2">
        <v>49885</v>
      </c>
      <c r="S127" s="2">
        <v>49885</v>
      </c>
      <c r="T127" s="5" t="s">
        <v>422</v>
      </c>
      <c r="U127" s="2">
        <f t="shared" si="11"/>
        <v>49885</v>
      </c>
      <c r="V127" t="str">
        <f t="shared" si="12"/>
        <v>NG</v>
      </c>
      <c r="W127" t="str">
        <f t="shared" si="10"/>
        <v>NYMEX</v>
      </c>
    </row>
    <row r="128" spans="16:23" x14ac:dyDescent="0.2">
      <c r="P128" s="1" t="s">
        <v>212</v>
      </c>
      <c r="Q128" s="2">
        <v>45259</v>
      </c>
      <c r="R128" s="2">
        <v>49914</v>
      </c>
      <c r="S128" s="2">
        <v>49914</v>
      </c>
      <c r="T128" s="5" t="s">
        <v>422</v>
      </c>
      <c r="U128" s="2">
        <f t="shared" si="11"/>
        <v>49914</v>
      </c>
      <c r="V128" t="str">
        <f t="shared" si="12"/>
        <v>NG</v>
      </c>
      <c r="W128" t="str">
        <f t="shared" si="10"/>
        <v>NYMEX</v>
      </c>
    </row>
    <row r="129" spans="16:23" x14ac:dyDescent="0.2">
      <c r="P129" s="1" t="s">
        <v>213</v>
      </c>
      <c r="Q129" s="2">
        <v>45259</v>
      </c>
      <c r="R129" s="2">
        <v>49944</v>
      </c>
      <c r="S129" s="2">
        <v>49944</v>
      </c>
      <c r="T129" s="5" t="s">
        <v>422</v>
      </c>
      <c r="U129" s="2">
        <f t="shared" si="11"/>
        <v>49944</v>
      </c>
      <c r="V129" t="str">
        <f t="shared" si="12"/>
        <v>NG</v>
      </c>
      <c r="W129" t="str">
        <f t="shared" si="10"/>
        <v>NYMEX</v>
      </c>
    </row>
    <row r="130" spans="16:23" x14ac:dyDescent="0.2">
      <c r="P130" s="1" t="s">
        <v>214</v>
      </c>
      <c r="Q130" s="2">
        <v>45259</v>
      </c>
      <c r="R130" s="2">
        <v>49977</v>
      </c>
      <c r="S130" s="2">
        <v>49977</v>
      </c>
      <c r="T130" s="5" t="s">
        <v>422</v>
      </c>
      <c r="U130" s="2">
        <f t="shared" si="11"/>
        <v>49977</v>
      </c>
      <c r="V130" t="str">
        <f t="shared" si="12"/>
        <v>NG</v>
      </c>
      <c r="W130" t="str">
        <f t="shared" si="10"/>
        <v>NYMEX</v>
      </c>
    </row>
    <row r="131" spans="16:23" x14ac:dyDescent="0.2">
      <c r="P131" s="1" t="s">
        <v>215</v>
      </c>
      <c r="Q131" s="2">
        <v>45259</v>
      </c>
      <c r="R131" s="2">
        <v>50004</v>
      </c>
      <c r="S131" s="2">
        <v>50004</v>
      </c>
      <c r="T131" s="5" t="s">
        <v>422</v>
      </c>
      <c r="U131" s="2">
        <f t="shared" si="11"/>
        <v>50004</v>
      </c>
      <c r="V131" t="str">
        <f t="shared" si="12"/>
        <v>NG</v>
      </c>
      <c r="W131" t="str">
        <f t="shared" ref="W131:W194" si="13">IFERROR(INDEX(AC:AC, MATCH(V131,AB:AB,0)),"---")</f>
        <v>NYMEX</v>
      </c>
    </row>
    <row r="132" spans="16:23" x14ac:dyDescent="0.2">
      <c r="P132" s="1" t="s">
        <v>216</v>
      </c>
      <c r="Q132" s="2">
        <v>45623</v>
      </c>
      <c r="R132" s="2">
        <v>50038</v>
      </c>
      <c r="S132" s="2">
        <v>50038</v>
      </c>
      <c r="T132" s="5" t="s">
        <v>422</v>
      </c>
      <c r="U132" s="2">
        <f t="shared" ref="U132:U195" si="14">MIN(R132:T132)</f>
        <v>50038</v>
      </c>
      <c r="V132" t="str">
        <f t="shared" ref="V132:V195" si="15">MID(P132,1,LEN(P132)-3)</f>
        <v>NG</v>
      </c>
      <c r="W132" t="str">
        <f t="shared" si="13"/>
        <v>NYMEX</v>
      </c>
    </row>
    <row r="133" spans="16:23" x14ac:dyDescent="0.2">
      <c r="P133" s="1" t="s">
        <v>217</v>
      </c>
      <c r="Q133" s="2">
        <v>45623</v>
      </c>
      <c r="R133" s="2">
        <v>50068</v>
      </c>
      <c r="S133" s="2">
        <v>50068</v>
      </c>
      <c r="T133" s="5" t="s">
        <v>422</v>
      </c>
      <c r="U133" s="2">
        <f t="shared" si="14"/>
        <v>50068</v>
      </c>
      <c r="V133" t="str">
        <f t="shared" si="15"/>
        <v>NG</v>
      </c>
      <c r="W133" t="str">
        <f t="shared" si="13"/>
        <v>NYMEX</v>
      </c>
    </row>
    <row r="134" spans="16:23" x14ac:dyDescent="0.2">
      <c r="P134" s="1" t="s">
        <v>218</v>
      </c>
      <c r="Q134" s="2">
        <v>45623</v>
      </c>
      <c r="R134" s="2">
        <v>50096</v>
      </c>
      <c r="S134" s="2">
        <v>50096</v>
      </c>
      <c r="T134" s="5" t="s">
        <v>422</v>
      </c>
      <c r="U134" s="2">
        <f t="shared" si="14"/>
        <v>50096</v>
      </c>
      <c r="V134" t="str">
        <f t="shared" si="15"/>
        <v>NG</v>
      </c>
      <c r="W134" t="str">
        <f t="shared" si="13"/>
        <v>NYMEX</v>
      </c>
    </row>
    <row r="135" spans="16:23" x14ac:dyDescent="0.2">
      <c r="P135" s="1" t="s">
        <v>219</v>
      </c>
      <c r="Q135" s="2">
        <v>45623</v>
      </c>
      <c r="R135" s="2">
        <v>50126</v>
      </c>
      <c r="S135" s="2">
        <v>50126</v>
      </c>
      <c r="T135" s="5" t="s">
        <v>422</v>
      </c>
      <c r="U135" s="2">
        <f t="shared" si="14"/>
        <v>50126</v>
      </c>
      <c r="V135" t="str">
        <f t="shared" si="15"/>
        <v>NG</v>
      </c>
      <c r="W135" t="str">
        <f t="shared" si="13"/>
        <v>NYMEX</v>
      </c>
    </row>
    <row r="136" spans="16:23" x14ac:dyDescent="0.2">
      <c r="P136" s="1" t="s">
        <v>220</v>
      </c>
      <c r="Q136" s="2">
        <v>45623</v>
      </c>
      <c r="R136" s="2">
        <v>50158</v>
      </c>
      <c r="S136" s="2">
        <v>50158</v>
      </c>
      <c r="T136" s="5" t="s">
        <v>422</v>
      </c>
      <c r="U136" s="2">
        <f t="shared" si="14"/>
        <v>50158</v>
      </c>
      <c r="V136" t="str">
        <f t="shared" si="15"/>
        <v>NG</v>
      </c>
      <c r="W136" t="str">
        <f t="shared" si="13"/>
        <v>NYMEX</v>
      </c>
    </row>
    <row r="137" spans="16:23" x14ac:dyDescent="0.2">
      <c r="P137" s="1" t="s">
        <v>221</v>
      </c>
      <c r="Q137" s="2">
        <v>45623</v>
      </c>
      <c r="R137" s="2">
        <v>50187</v>
      </c>
      <c r="S137" s="2">
        <v>50187</v>
      </c>
      <c r="T137" s="5" t="s">
        <v>422</v>
      </c>
      <c r="U137" s="2">
        <f t="shared" si="14"/>
        <v>50187</v>
      </c>
      <c r="V137" t="str">
        <f t="shared" si="15"/>
        <v>NG</v>
      </c>
      <c r="W137" t="str">
        <f t="shared" si="13"/>
        <v>NYMEX</v>
      </c>
    </row>
    <row r="138" spans="16:23" x14ac:dyDescent="0.2">
      <c r="P138" s="1" t="s">
        <v>222</v>
      </c>
      <c r="Q138" s="2">
        <v>45623</v>
      </c>
      <c r="R138" s="2">
        <v>50217</v>
      </c>
      <c r="S138" s="2">
        <v>50217</v>
      </c>
      <c r="T138" s="5" t="s">
        <v>422</v>
      </c>
      <c r="U138" s="2">
        <f t="shared" si="14"/>
        <v>50217</v>
      </c>
      <c r="V138" t="str">
        <f t="shared" si="15"/>
        <v>NG</v>
      </c>
      <c r="W138" t="str">
        <f t="shared" si="13"/>
        <v>NYMEX</v>
      </c>
    </row>
    <row r="139" spans="16:23" x14ac:dyDescent="0.2">
      <c r="P139" s="1" t="s">
        <v>223</v>
      </c>
      <c r="Q139" s="2">
        <v>45623</v>
      </c>
      <c r="R139" s="2">
        <v>50250</v>
      </c>
      <c r="S139" s="2">
        <v>50250</v>
      </c>
      <c r="T139" s="5" t="s">
        <v>422</v>
      </c>
      <c r="U139" s="2">
        <f t="shared" si="14"/>
        <v>50250</v>
      </c>
      <c r="V139" t="str">
        <f t="shared" si="15"/>
        <v>NG</v>
      </c>
      <c r="W139" t="str">
        <f t="shared" si="13"/>
        <v>NYMEX</v>
      </c>
    </row>
    <row r="140" spans="16:23" x14ac:dyDescent="0.2">
      <c r="P140" s="1" t="s">
        <v>224</v>
      </c>
      <c r="Q140" s="2">
        <v>45623</v>
      </c>
      <c r="R140" s="2">
        <v>50279</v>
      </c>
      <c r="S140" s="2">
        <v>50279</v>
      </c>
      <c r="T140" s="5" t="s">
        <v>422</v>
      </c>
      <c r="U140" s="2">
        <f t="shared" si="14"/>
        <v>50279</v>
      </c>
      <c r="V140" t="str">
        <f t="shared" si="15"/>
        <v>NG</v>
      </c>
      <c r="W140" t="str">
        <f t="shared" si="13"/>
        <v>NYMEX</v>
      </c>
    </row>
    <row r="141" spans="16:23" x14ac:dyDescent="0.2">
      <c r="P141" s="1" t="s">
        <v>225</v>
      </c>
      <c r="Q141" s="2">
        <v>45623</v>
      </c>
      <c r="R141" s="2">
        <v>50311</v>
      </c>
      <c r="S141" s="2">
        <v>50311</v>
      </c>
      <c r="T141" s="5" t="s">
        <v>422</v>
      </c>
      <c r="U141" s="2">
        <f t="shared" si="14"/>
        <v>50311</v>
      </c>
      <c r="V141" t="str">
        <f t="shared" si="15"/>
        <v>NG</v>
      </c>
      <c r="W141" t="str">
        <f t="shared" si="13"/>
        <v>NYMEX</v>
      </c>
    </row>
    <row r="142" spans="16:23" x14ac:dyDescent="0.2">
      <c r="P142" s="1" t="s">
        <v>226</v>
      </c>
      <c r="Q142" s="2">
        <v>45623</v>
      </c>
      <c r="R142" s="2">
        <v>50341</v>
      </c>
      <c r="S142" s="2">
        <v>50341</v>
      </c>
      <c r="T142" s="5" t="s">
        <v>422</v>
      </c>
      <c r="U142" s="2">
        <f t="shared" si="14"/>
        <v>50341</v>
      </c>
      <c r="V142" t="str">
        <f t="shared" si="15"/>
        <v>NG</v>
      </c>
      <c r="W142" t="str">
        <f t="shared" si="13"/>
        <v>NYMEX</v>
      </c>
    </row>
    <row r="143" spans="16:23" x14ac:dyDescent="0.2">
      <c r="P143" s="1" t="s">
        <v>227</v>
      </c>
      <c r="Q143" s="2">
        <v>45623</v>
      </c>
      <c r="R143" s="2">
        <v>50369</v>
      </c>
      <c r="S143" s="2">
        <v>50369</v>
      </c>
      <c r="T143" s="5" t="s">
        <v>422</v>
      </c>
      <c r="U143" s="2">
        <f t="shared" si="14"/>
        <v>50369</v>
      </c>
      <c r="V143" t="str">
        <f t="shared" si="15"/>
        <v>NG</v>
      </c>
      <c r="W143" t="str">
        <f t="shared" si="13"/>
        <v>NYMEX</v>
      </c>
    </row>
    <row r="144" spans="16:23" x14ac:dyDescent="0.2">
      <c r="P144" s="1" t="s">
        <v>228</v>
      </c>
      <c r="Q144" s="2">
        <v>45987</v>
      </c>
      <c r="R144" s="2">
        <v>50403</v>
      </c>
      <c r="S144" s="2">
        <v>50403</v>
      </c>
      <c r="T144" s="5" t="s">
        <v>422</v>
      </c>
      <c r="U144" s="2">
        <f t="shared" si="14"/>
        <v>50403</v>
      </c>
      <c r="V144" t="str">
        <f t="shared" si="15"/>
        <v>NG</v>
      </c>
      <c r="W144" t="str">
        <f t="shared" si="13"/>
        <v>NYMEX</v>
      </c>
    </row>
    <row r="145" spans="16:23" x14ac:dyDescent="0.2">
      <c r="P145" s="1" t="s">
        <v>229</v>
      </c>
      <c r="Q145" s="2">
        <v>45987</v>
      </c>
      <c r="R145" s="2">
        <v>50432</v>
      </c>
      <c r="S145" s="2">
        <v>50432</v>
      </c>
      <c r="T145" s="5" t="s">
        <v>422</v>
      </c>
      <c r="U145" s="2">
        <f t="shared" si="14"/>
        <v>50432</v>
      </c>
      <c r="V145" t="str">
        <f t="shared" si="15"/>
        <v>NG</v>
      </c>
      <c r="W145" t="str">
        <f t="shared" si="13"/>
        <v>NYMEX</v>
      </c>
    </row>
    <row r="146" spans="16:23" x14ac:dyDescent="0.2">
      <c r="P146" s="1" t="s">
        <v>230</v>
      </c>
      <c r="Q146" s="2">
        <v>45987</v>
      </c>
      <c r="R146" s="2">
        <v>50460</v>
      </c>
      <c r="S146" s="2">
        <v>50460</v>
      </c>
      <c r="T146" s="5" t="s">
        <v>422</v>
      </c>
      <c r="U146" s="2">
        <f t="shared" si="14"/>
        <v>50460</v>
      </c>
      <c r="V146" t="str">
        <f t="shared" si="15"/>
        <v>NG</v>
      </c>
      <c r="W146" t="str">
        <f t="shared" si="13"/>
        <v>NYMEX</v>
      </c>
    </row>
    <row r="147" spans="16:23" x14ac:dyDescent="0.2">
      <c r="P147" s="1" t="s">
        <v>231</v>
      </c>
      <c r="Q147" s="2">
        <v>45987</v>
      </c>
      <c r="R147" s="2">
        <v>50493</v>
      </c>
      <c r="S147" s="2">
        <v>50493</v>
      </c>
      <c r="T147" s="5" t="s">
        <v>422</v>
      </c>
      <c r="U147" s="2">
        <f t="shared" si="14"/>
        <v>50493</v>
      </c>
      <c r="V147" t="str">
        <f t="shared" si="15"/>
        <v>NG</v>
      </c>
      <c r="W147" t="str">
        <f t="shared" si="13"/>
        <v>NYMEX</v>
      </c>
    </row>
    <row r="148" spans="16:23" x14ac:dyDescent="0.2">
      <c r="P148" s="1" t="s">
        <v>232</v>
      </c>
      <c r="Q148" s="2">
        <v>45987</v>
      </c>
      <c r="R148" s="2">
        <v>50523</v>
      </c>
      <c r="S148" s="2">
        <v>50523</v>
      </c>
      <c r="T148" s="5" t="s">
        <v>422</v>
      </c>
      <c r="U148" s="2">
        <f t="shared" si="14"/>
        <v>50523</v>
      </c>
      <c r="V148" t="str">
        <f t="shared" si="15"/>
        <v>NG</v>
      </c>
      <c r="W148" t="str">
        <f t="shared" si="13"/>
        <v>NYMEX</v>
      </c>
    </row>
    <row r="149" spans="16:23" x14ac:dyDescent="0.2">
      <c r="P149" s="1" t="s">
        <v>233</v>
      </c>
      <c r="Q149" s="2">
        <v>45987</v>
      </c>
      <c r="R149" s="2">
        <v>50551</v>
      </c>
      <c r="S149" s="2">
        <v>50551</v>
      </c>
      <c r="T149" s="5" t="s">
        <v>422</v>
      </c>
      <c r="U149" s="2">
        <f t="shared" si="14"/>
        <v>50551</v>
      </c>
      <c r="V149" t="str">
        <f t="shared" si="15"/>
        <v>NG</v>
      </c>
      <c r="W149" t="str">
        <f t="shared" si="13"/>
        <v>NYMEX</v>
      </c>
    </row>
    <row r="150" spans="16:23" x14ac:dyDescent="0.2">
      <c r="P150" s="1" t="s">
        <v>234</v>
      </c>
      <c r="Q150" s="2">
        <v>45987</v>
      </c>
      <c r="R150" s="2">
        <v>50584</v>
      </c>
      <c r="S150" s="2">
        <v>50584</v>
      </c>
      <c r="T150" s="5" t="s">
        <v>422</v>
      </c>
      <c r="U150" s="2">
        <f t="shared" si="14"/>
        <v>50584</v>
      </c>
      <c r="V150" t="str">
        <f t="shared" si="15"/>
        <v>NG</v>
      </c>
      <c r="W150" t="str">
        <f t="shared" si="13"/>
        <v>NYMEX</v>
      </c>
    </row>
    <row r="151" spans="16:23" x14ac:dyDescent="0.2">
      <c r="P151" s="1" t="s">
        <v>235</v>
      </c>
      <c r="Q151" s="2">
        <v>45987</v>
      </c>
      <c r="R151" s="2">
        <v>50614</v>
      </c>
      <c r="S151" s="2">
        <v>50614</v>
      </c>
      <c r="T151" s="5" t="s">
        <v>422</v>
      </c>
      <c r="U151" s="2">
        <f t="shared" si="14"/>
        <v>50614</v>
      </c>
      <c r="V151" t="str">
        <f t="shared" si="15"/>
        <v>NG</v>
      </c>
      <c r="W151" t="str">
        <f t="shared" si="13"/>
        <v>NYMEX</v>
      </c>
    </row>
    <row r="152" spans="16:23" x14ac:dyDescent="0.2">
      <c r="P152" s="1" t="s">
        <v>236</v>
      </c>
      <c r="Q152" s="2">
        <v>45987</v>
      </c>
      <c r="R152" s="2">
        <v>50644</v>
      </c>
      <c r="S152" s="2">
        <v>50644</v>
      </c>
      <c r="T152" s="5" t="s">
        <v>422</v>
      </c>
      <c r="U152" s="2">
        <f t="shared" si="14"/>
        <v>50644</v>
      </c>
      <c r="V152" t="str">
        <f t="shared" si="15"/>
        <v>NG</v>
      </c>
      <c r="W152" t="str">
        <f t="shared" si="13"/>
        <v>NYMEX</v>
      </c>
    </row>
    <row r="153" spans="16:23" x14ac:dyDescent="0.2">
      <c r="P153" s="1" t="s">
        <v>237</v>
      </c>
      <c r="Q153" s="2">
        <v>45987</v>
      </c>
      <c r="R153" s="2">
        <v>50676</v>
      </c>
      <c r="S153" s="2">
        <v>50676</v>
      </c>
      <c r="T153" s="5" t="s">
        <v>422</v>
      </c>
      <c r="U153" s="2">
        <f t="shared" si="14"/>
        <v>50676</v>
      </c>
      <c r="V153" t="str">
        <f t="shared" si="15"/>
        <v>NG</v>
      </c>
      <c r="W153" t="str">
        <f t="shared" si="13"/>
        <v>NYMEX</v>
      </c>
    </row>
    <row r="154" spans="16:23" x14ac:dyDescent="0.2">
      <c r="P154" s="1" t="s">
        <v>238</v>
      </c>
      <c r="Q154" s="2">
        <v>45987</v>
      </c>
      <c r="R154" s="2">
        <v>50705</v>
      </c>
      <c r="S154" s="2">
        <v>50705</v>
      </c>
      <c r="T154" s="5" t="s">
        <v>422</v>
      </c>
      <c r="U154" s="2">
        <f t="shared" si="14"/>
        <v>50705</v>
      </c>
      <c r="V154" t="str">
        <f t="shared" si="15"/>
        <v>NG</v>
      </c>
      <c r="W154" t="str">
        <f t="shared" si="13"/>
        <v>NYMEX</v>
      </c>
    </row>
    <row r="155" spans="16:23" x14ac:dyDescent="0.2">
      <c r="P155" s="1" t="s">
        <v>239</v>
      </c>
      <c r="Q155" s="2">
        <v>45987</v>
      </c>
      <c r="R155" s="2">
        <v>50735</v>
      </c>
      <c r="S155" s="2">
        <v>50735</v>
      </c>
      <c r="T155" s="5" t="s">
        <v>422</v>
      </c>
      <c r="U155" s="2">
        <f t="shared" si="14"/>
        <v>50735</v>
      </c>
      <c r="V155" t="str">
        <f t="shared" si="15"/>
        <v>NG</v>
      </c>
      <c r="W155" t="str">
        <f t="shared" si="13"/>
        <v>NYMEX</v>
      </c>
    </row>
    <row r="156" spans="16:23" x14ac:dyDescent="0.2">
      <c r="P156" s="1" t="s">
        <v>240</v>
      </c>
      <c r="Q156" s="2">
        <v>43405</v>
      </c>
      <c r="R156" s="2">
        <v>46080</v>
      </c>
      <c r="S156" s="2">
        <v>46083</v>
      </c>
      <c r="T156" s="5" t="s">
        <v>422</v>
      </c>
      <c r="U156" s="2">
        <f t="shared" si="14"/>
        <v>46080</v>
      </c>
      <c r="V156" t="str">
        <f t="shared" si="15"/>
        <v>BZ</v>
      </c>
      <c r="W156" t="str">
        <f t="shared" si="13"/>
        <v>NYMEX</v>
      </c>
    </row>
    <row r="157" spans="16:23" x14ac:dyDescent="0.2">
      <c r="P157" s="1" t="s">
        <v>241</v>
      </c>
      <c r="Q157" s="2">
        <v>43405</v>
      </c>
      <c r="R157" s="2">
        <v>46112</v>
      </c>
      <c r="S157" s="2">
        <v>46113</v>
      </c>
      <c r="T157" s="5" t="s">
        <v>422</v>
      </c>
      <c r="U157" s="2">
        <f t="shared" si="14"/>
        <v>46112</v>
      </c>
      <c r="V157" t="str">
        <f t="shared" si="15"/>
        <v>BZ</v>
      </c>
      <c r="W157" t="str">
        <f t="shared" si="13"/>
        <v>NYMEX</v>
      </c>
    </row>
    <row r="158" spans="16:23" x14ac:dyDescent="0.2">
      <c r="P158" s="1" t="s">
        <v>242</v>
      </c>
      <c r="Q158" s="2">
        <v>43405</v>
      </c>
      <c r="R158" s="2">
        <v>46142</v>
      </c>
      <c r="S158" s="2">
        <v>46143</v>
      </c>
      <c r="T158" s="5" t="s">
        <v>422</v>
      </c>
      <c r="U158" s="2">
        <f t="shared" si="14"/>
        <v>46142</v>
      </c>
      <c r="V158" t="str">
        <f t="shared" si="15"/>
        <v>BZ</v>
      </c>
      <c r="W158" t="str">
        <f t="shared" si="13"/>
        <v>NYMEX</v>
      </c>
    </row>
    <row r="159" spans="16:23" x14ac:dyDescent="0.2">
      <c r="P159" s="1" t="s">
        <v>243</v>
      </c>
      <c r="Q159" s="2">
        <v>43405</v>
      </c>
      <c r="R159" s="2">
        <v>46171</v>
      </c>
      <c r="S159" s="2">
        <v>46174</v>
      </c>
      <c r="T159" s="5" t="s">
        <v>422</v>
      </c>
      <c r="U159" s="2">
        <f t="shared" si="14"/>
        <v>46171</v>
      </c>
      <c r="V159" t="str">
        <f t="shared" si="15"/>
        <v>BZ</v>
      </c>
      <c r="W159" t="str">
        <f t="shared" si="13"/>
        <v>NYMEX</v>
      </c>
    </row>
    <row r="160" spans="16:23" x14ac:dyDescent="0.2">
      <c r="P160" s="1" t="s">
        <v>244</v>
      </c>
      <c r="Q160" s="2">
        <v>43405</v>
      </c>
      <c r="R160" s="2">
        <v>46203</v>
      </c>
      <c r="S160" s="2">
        <v>46204</v>
      </c>
      <c r="T160" s="5" t="s">
        <v>422</v>
      </c>
      <c r="U160" s="2">
        <f t="shared" si="14"/>
        <v>46203</v>
      </c>
      <c r="V160" t="str">
        <f t="shared" si="15"/>
        <v>BZ</v>
      </c>
      <c r="W160" t="str">
        <f t="shared" si="13"/>
        <v>NYMEX</v>
      </c>
    </row>
    <row r="161" spans="16:23" x14ac:dyDescent="0.2">
      <c r="P161" s="1" t="s">
        <v>245</v>
      </c>
      <c r="Q161" s="2">
        <v>43405</v>
      </c>
      <c r="R161" s="2">
        <v>46234</v>
      </c>
      <c r="S161" s="2">
        <v>46237</v>
      </c>
      <c r="T161" s="5" t="s">
        <v>422</v>
      </c>
      <c r="U161" s="2">
        <f t="shared" si="14"/>
        <v>46234</v>
      </c>
      <c r="V161" t="str">
        <f t="shared" si="15"/>
        <v>BZ</v>
      </c>
      <c r="W161" t="str">
        <f t="shared" si="13"/>
        <v>NYMEX</v>
      </c>
    </row>
    <row r="162" spans="16:23" x14ac:dyDescent="0.2">
      <c r="P162" s="1" t="s">
        <v>246</v>
      </c>
      <c r="Q162" s="2">
        <v>43405</v>
      </c>
      <c r="R162" s="2">
        <v>46262</v>
      </c>
      <c r="S162" s="2">
        <v>46265</v>
      </c>
      <c r="T162" s="5" t="s">
        <v>422</v>
      </c>
      <c r="U162" s="2">
        <f t="shared" si="14"/>
        <v>46262</v>
      </c>
      <c r="V162" t="str">
        <f t="shared" si="15"/>
        <v>BZ</v>
      </c>
      <c r="W162" t="str">
        <f t="shared" si="13"/>
        <v>NYMEX</v>
      </c>
    </row>
    <row r="163" spans="16:23" x14ac:dyDescent="0.2">
      <c r="P163" s="1" t="s">
        <v>247</v>
      </c>
      <c r="Q163" s="2">
        <v>43405</v>
      </c>
      <c r="R163" s="2">
        <v>46295</v>
      </c>
      <c r="S163" s="2">
        <v>46296</v>
      </c>
      <c r="T163" s="5" t="s">
        <v>422</v>
      </c>
      <c r="U163" s="2">
        <f t="shared" si="14"/>
        <v>46295</v>
      </c>
      <c r="V163" t="str">
        <f t="shared" si="15"/>
        <v>BZ</v>
      </c>
      <c r="W163" t="str">
        <f t="shared" si="13"/>
        <v>NYMEX</v>
      </c>
    </row>
    <row r="164" spans="16:23" x14ac:dyDescent="0.2">
      <c r="P164" s="1" t="s">
        <v>248</v>
      </c>
      <c r="Q164" s="2">
        <v>43405</v>
      </c>
      <c r="R164" s="2">
        <v>46325</v>
      </c>
      <c r="S164" s="2">
        <v>46328</v>
      </c>
      <c r="T164" s="5" t="s">
        <v>422</v>
      </c>
      <c r="U164" s="2">
        <f t="shared" si="14"/>
        <v>46325</v>
      </c>
      <c r="V164" t="str">
        <f t="shared" si="15"/>
        <v>BZ</v>
      </c>
      <c r="W164" t="str">
        <f t="shared" si="13"/>
        <v>NYMEX</v>
      </c>
    </row>
    <row r="165" spans="16:23" x14ac:dyDescent="0.2">
      <c r="P165" s="1" t="s">
        <v>249</v>
      </c>
      <c r="Q165" s="2">
        <v>43405</v>
      </c>
      <c r="R165" s="2">
        <v>46356</v>
      </c>
      <c r="S165" s="2">
        <v>46357</v>
      </c>
      <c r="T165" s="5" t="s">
        <v>422</v>
      </c>
      <c r="U165" s="2">
        <f t="shared" si="14"/>
        <v>46356</v>
      </c>
      <c r="V165" t="str">
        <f t="shared" si="15"/>
        <v>BZ</v>
      </c>
      <c r="W165" t="str">
        <f t="shared" si="13"/>
        <v>NYMEX</v>
      </c>
    </row>
    <row r="166" spans="16:23" x14ac:dyDescent="0.2">
      <c r="P166" s="1" t="s">
        <v>250</v>
      </c>
      <c r="Q166" s="2">
        <v>43405</v>
      </c>
      <c r="R166" s="2">
        <v>46386</v>
      </c>
      <c r="S166" s="2">
        <v>46387</v>
      </c>
      <c r="T166" s="5" t="s">
        <v>422</v>
      </c>
      <c r="U166" s="2">
        <f t="shared" si="14"/>
        <v>46386</v>
      </c>
      <c r="V166" t="str">
        <f t="shared" si="15"/>
        <v>BZ</v>
      </c>
      <c r="W166" t="str">
        <f t="shared" si="13"/>
        <v>NYMEX</v>
      </c>
    </row>
    <row r="167" spans="16:23" x14ac:dyDescent="0.2">
      <c r="P167" s="1" t="s">
        <v>251</v>
      </c>
      <c r="Q167" s="2">
        <v>43405</v>
      </c>
      <c r="R167" s="2">
        <v>46416</v>
      </c>
      <c r="S167" s="2">
        <v>46419</v>
      </c>
      <c r="T167" s="5" t="s">
        <v>422</v>
      </c>
      <c r="U167" s="2">
        <f t="shared" si="14"/>
        <v>46416</v>
      </c>
      <c r="V167" t="str">
        <f t="shared" si="15"/>
        <v>BZ</v>
      </c>
      <c r="W167" t="str">
        <f t="shared" si="13"/>
        <v>NYMEX</v>
      </c>
    </row>
    <row r="168" spans="16:23" x14ac:dyDescent="0.2">
      <c r="P168" s="1" t="s">
        <v>252</v>
      </c>
      <c r="Q168" s="2">
        <v>43770</v>
      </c>
      <c r="R168" s="2">
        <v>46444</v>
      </c>
      <c r="S168" s="2">
        <v>46447</v>
      </c>
      <c r="T168" s="5" t="s">
        <v>422</v>
      </c>
      <c r="U168" s="2">
        <f t="shared" si="14"/>
        <v>46444</v>
      </c>
      <c r="V168" t="str">
        <f t="shared" si="15"/>
        <v>BZ</v>
      </c>
      <c r="W168" t="str">
        <f t="shared" si="13"/>
        <v>NYMEX</v>
      </c>
    </row>
    <row r="169" spans="16:23" x14ac:dyDescent="0.2">
      <c r="P169" s="1" t="s">
        <v>253</v>
      </c>
      <c r="Q169" s="2">
        <v>43770</v>
      </c>
      <c r="R169" s="2">
        <v>46477</v>
      </c>
      <c r="S169" s="2">
        <v>46478</v>
      </c>
      <c r="T169" s="5" t="s">
        <v>422</v>
      </c>
      <c r="U169" s="2">
        <f t="shared" si="14"/>
        <v>46477</v>
      </c>
      <c r="V169" t="str">
        <f t="shared" si="15"/>
        <v>BZ</v>
      </c>
      <c r="W169" t="str">
        <f t="shared" si="13"/>
        <v>NYMEX</v>
      </c>
    </row>
    <row r="170" spans="16:23" x14ac:dyDescent="0.2">
      <c r="P170" s="1" t="s">
        <v>254</v>
      </c>
      <c r="Q170" s="2">
        <v>43770</v>
      </c>
      <c r="R170" s="2">
        <v>46507</v>
      </c>
      <c r="S170" s="2">
        <v>46510</v>
      </c>
      <c r="T170" s="5" t="s">
        <v>422</v>
      </c>
      <c r="U170" s="2">
        <f t="shared" si="14"/>
        <v>46507</v>
      </c>
      <c r="V170" t="str">
        <f t="shared" si="15"/>
        <v>BZ</v>
      </c>
      <c r="W170" t="str">
        <f t="shared" si="13"/>
        <v>NYMEX</v>
      </c>
    </row>
    <row r="171" spans="16:23" x14ac:dyDescent="0.2">
      <c r="P171" s="1" t="s">
        <v>255</v>
      </c>
      <c r="Q171" s="2">
        <v>43770</v>
      </c>
      <c r="R171" s="2">
        <v>46535</v>
      </c>
      <c r="S171" s="2">
        <v>46539</v>
      </c>
      <c r="T171" s="5" t="s">
        <v>422</v>
      </c>
      <c r="U171" s="2">
        <f t="shared" si="14"/>
        <v>46535</v>
      </c>
      <c r="V171" t="str">
        <f t="shared" si="15"/>
        <v>BZ</v>
      </c>
      <c r="W171" t="str">
        <f t="shared" si="13"/>
        <v>NYMEX</v>
      </c>
    </row>
    <row r="172" spans="16:23" x14ac:dyDescent="0.2">
      <c r="P172" s="1" t="s">
        <v>256</v>
      </c>
      <c r="Q172" s="2">
        <v>43770</v>
      </c>
      <c r="R172" s="2">
        <v>46568</v>
      </c>
      <c r="S172" s="2">
        <v>46569</v>
      </c>
      <c r="T172" s="5" t="s">
        <v>422</v>
      </c>
      <c r="U172" s="2">
        <f t="shared" si="14"/>
        <v>46568</v>
      </c>
      <c r="V172" t="str">
        <f t="shared" si="15"/>
        <v>BZ</v>
      </c>
      <c r="W172" t="str">
        <f t="shared" si="13"/>
        <v>NYMEX</v>
      </c>
    </row>
    <row r="173" spans="16:23" x14ac:dyDescent="0.2">
      <c r="P173" s="1" t="s">
        <v>257</v>
      </c>
      <c r="Q173" s="2">
        <v>43770</v>
      </c>
      <c r="R173" s="2">
        <v>46598</v>
      </c>
      <c r="S173" s="2">
        <v>46601</v>
      </c>
      <c r="T173" s="5" t="s">
        <v>422</v>
      </c>
      <c r="U173" s="2">
        <f t="shared" si="14"/>
        <v>46598</v>
      </c>
      <c r="V173" t="str">
        <f t="shared" si="15"/>
        <v>BZ</v>
      </c>
      <c r="W173" t="str">
        <f t="shared" si="13"/>
        <v>NYMEX</v>
      </c>
    </row>
    <row r="174" spans="16:23" x14ac:dyDescent="0.2">
      <c r="P174" s="1" t="s">
        <v>258</v>
      </c>
      <c r="Q174" s="2">
        <v>43770</v>
      </c>
      <c r="R174" s="2">
        <v>46630</v>
      </c>
      <c r="S174" s="2">
        <v>46631</v>
      </c>
      <c r="T174" s="5" t="s">
        <v>422</v>
      </c>
      <c r="U174" s="2">
        <f t="shared" si="14"/>
        <v>46630</v>
      </c>
      <c r="V174" t="str">
        <f t="shared" si="15"/>
        <v>BZ</v>
      </c>
      <c r="W174" t="str">
        <f t="shared" si="13"/>
        <v>NYMEX</v>
      </c>
    </row>
    <row r="175" spans="16:23" x14ac:dyDescent="0.2">
      <c r="P175" s="1" t="s">
        <v>259</v>
      </c>
      <c r="Q175" s="2">
        <v>43770</v>
      </c>
      <c r="R175" s="2">
        <v>46660</v>
      </c>
      <c r="S175" s="2">
        <v>46661</v>
      </c>
      <c r="T175" s="5" t="s">
        <v>422</v>
      </c>
      <c r="U175" s="2">
        <f t="shared" si="14"/>
        <v>46660</v>
      </c>
      <c r="V175" t="str">
        <f t="shared" si="15"/>
        <v>BZ</v>
      </c>
      <c r="W175" t="str">
        <f t="shared" si="13"/>
        <v>NYMEX</v>
      </c>
    </row>
    <row r="176" spans="16:23" x14ac:dyDescent="0.2">
      <c r="P176" s="1" t="s">
        <v>260</v>
      </c>
      <c r="Q176" s="2">
        <v>43770</v>
      </c>
      <c r="R176" s="2">
        <v>46689</v>
      </c>
      <c r="S176" s="2">
        <v>46692</v>
      </c>
      <c r="T176" s="5" t="s">
        <v>422</v>
      </c>
      <c r="U176" s="2">
        <f t="shared" si="14"/>
        <v>46689</v>
      </c>
      <c r="V176" t="str">
        <f t="shared" si="15"/>
        <v>BZ</v>
      </c>
      <c r="W176" t="str">
        <f t="shared" si="13"/>
        <v>NYMEX</v>
      </c>
    </row>
    <row r="177" spans="16:23" x14ac:dyDescent="0.2">
      <c r="P177" s="1" t="s">
        <v>261</v>
      </c>
      <c r="Q177" s="2">
        <v>43770</v>
      </c>
      <c r="R177" s="2">
        <v>46721</v>
      </c>
      <c r="S177" s="2">
        <v>46722</v>
      </c>
      <c r="T177" s="5" t="s">
        <v>422</v>
      </c>
      <c r="U177" s="2">
        <f t="shared" si="14"/>
        <v>46721</v>
      </c>
      <c r="V177" t="str">
        <f t="shared" si="15"/>
        <v>BZ</v>
      </c>
      <c r="W177" t="str">
        <f t="shared" si="13"/>
        <v>NYMEX</v>
      </c>
    </row>
    <row r="178" spans="16:23" x14ac:dyDescent="0.2">
      <c r="P178" s="1" t="s">
        <v>262</v>
      </c>
      <c r="Q178" s="2">
        <v>43770</v>
      </c>
      <c r="R178" s="2">
        <v>46751</v>
      </c>
      <c r="S178" s="2">
        <v>46752</v>
      </c>
      <c r="T178" s="5" t="s">
        <v>422</v>
      </c>
      <c r="U178" s="2">
        <f t="shared" si="14"/>
        <v>46751</v>
      </c>
      <c r="V178" t="str">
        <f t="shared" si="15"/>
        <v>BZ</v>
      </c>
      <c r="W178" t="str">
        <f t="shared" si="13"/>
        <v>NYMEX</v>
      </c>
    </row>
    <row r="179" spans="16:23" x14ac:dyDescent="0.2">
      <c r="P179" s="1" t="s">
        <v>263</v>
      </c>
      <c r="Q179" s="2">
        <v>43770</v>
      </c>
      <c r="R179" s="2">
        <v>46783</v>
      </c>
      <c r="S179" s="2">
        <v>46784</v>
      </c>
      <c r="T179" s="5" t="s">
        <v>422</v>
      </c>
      <c r="U179" s="2">
        <f t="shared" si="14"/>
        <v>46783</v>
      </c>
      <c r="V179" t="str">
        <f t="shared" si="15"/>
        <v>BZ</v>
      </c>
      <c r="W179" t="str">
        <f t="shared" si="13"/>
        <v>NYMEX</v>
      </c>
    </row>
    <row r="180" spans="16:23" x14ac:dyDescent="0.2">
      <c r="P180" s="1" t="s">
        <v>264</v>
      </c>
      <c r="Q180" s="2">
        <v>44137</v>
      </c>
      <c r="R180" s="2">
        <v>46812</v>
      </c>
      <c r="S180" s="2">
        <v>46813</v>
      </c>
      <c r="T180" s="5" t="s">
        <v>422</v>
      </c>
      <c r="U180" s="2">
        <f t="shared" si="14"/>
        <v>46812</v>
      </c>
      <c r="V180" t="str">
        <f t="shared" si="15"/>
        <v>BZ</v>
      </c>
      <c r="W180" t="str">
        <f t="shared" si="13"/>
        <v>NYMEX</v>
      </c>
    </row>
    <row r="181" spans="16:23" x14ac:dyDescent="0.2">
      <c r="P181" s="1" t="s">
        <v>265</v>
      </c>
      <c r="Q181" s="2">
        <v>44137</v>
      </c>
      <c r="R181" s="2">
        <v>46843</v>
      </c>
      <c r="S181" s="2">
        <v>46846</v>
      </c>
      <c r="T181" s="5" t="s">
        <v>422</v>
      </c>
      <c r="U181" s="2">
        <f t="shared" si="14"/>
        <v>46843</v>
      </c>
      <c r="V181" t="str">
        <f t="shared" si="15"/>
        <v>BZ</v>
      </c>
      <c r="W181" t="str">
        <f t="shared" si="13"/>
        <v>NYMEX</v>
      </c>
    </row>
    <row r="182" spans="16:23" x14ac:dyDescent="0.2">
      <c r="P182" s="1" t="s">
        <v>266</v>
      </c>
      <c r="Q182" s="2">
        <v>44137</v>
      </c>
      <c r="R182" s="2">
        <v>46871</v>
      </c>
      <c r="S182" s="2">
        <v>46874</v>
      </c>
      <c r="T182" s="5" t="s">
        <v>422</v>
      </c>
      <c r="U182" s="2">
        <f t="shared" si="14"/>
        <v>46871</v>
      </c>
      <c r="V182" t="str">
        <f t="shared" si="15"/>
        <v>BZ</v>
      </c>
      <c r="W182" t="str">
        <f t="shared" si="13"/>
        <v>NYMEX</v>
      </c>
    </row>
    <row r="183" spans="16:23" x14ac:dyDescent="0.2">
      <c r="P183" s="1" t="s">
        <v>267</v>
      </c>
      <c r="Q183" s="2">
        <v>44137</v>
      </c>
      <c r="R183" s="2">
        <v>46904</v>
      </c>
      <c r="S183" s="2">
        <v>46905</v>
      </c>
      <c r="T183" s="5" t="s">
        <v>422</v>
      </c>
      <c r="U183" s="2">
        <f t="shared" si="14"/>
        <v>46904</v>
      </c>
      <c r="V183" t="str">
        <f t="shared" si="15"/>
        <v>BZ</v>
      </c>
      <c r="W183" t="str">
        <f t="shared" si="13"/>
        <v>NYMEX</v>
      </c>
    </row>
    <row r="184" spans="16:23" x14ac:dyDescent="0.2">
      <c r="P184" s="1" t="s">
        <v>268</v>
      </c>
      <c r="Q184" s="2">
        <v>44137</v>
      </c>
      <c r="R184" s="2">
        <v>46934</v>
      </c>
      <c r="S184" s="2">
        <v>46937</v>
      </c>
      <c r="T184" s="5" t="s">
        <v>422</v>
      </c>
      <c r="U184" s="2">
        <f t="shared" si="14"/>
        <v>46934</v>
      </c>
      <c r="V184" t="str">
        <f t="shared" si="15"/>
        <v>BZ</v>
      </c>
      <c r="W184" t="str">
        <f t="shared" si="13"/>
        <v>NYMEX</v>
      </c>
    </row>
    <row r="185" spans="16:23" x14ac:dyDescent="0.2">
      <c r="P185" s="1" t="s">
        <v>269</v>
      </c>
      <c r="Q185" s="2">
        <v>44137</v>
      </c>
      <c r="R185" s="2">
        <v>46965</v>
      </c>
      <c r="S185" s="2">
        <v>46966</v>
      </c>
      <c r="T185" s="5" t="s">
        <v>422</v>
      </c>
      <c r="U185" s="2">
        <f t="shared" si="14"/>
        <v>46965</v>
      </c>
      <c r="V185" t="str">
        <f t="shared" si="15"/>
        <v>BZ</v>
      </c>
      <c r="W185" t="str">
        <f t="shared" si="13"/>
        <v>NYMEX</v>
      </c>
    </row>
    <row r="186" spans="16:23" x14ac:dyDescent="0.2">
      <c r="P186" s="1" t="s">
        <v>270</v>
      </c>
      <c r="Q186" s="2">
        <v>44137</v>
      </c>
      <c r="R186" s="2">
        <v>46996</v>
      </c>
      <c r="S186" s="2">
        <v>46997</v>
      </c>
      <c r="T186" s="5" t="s">
        <v>422</v>
      </c>
      <c r="U186" s="2">
        <f t="shared" si="14"/>
        <v>46996</v>
      </c>
      <c r="V186" t="str">
        <f t="shared" si="15"/>
        <v>BZ</v>
      </c>
      <c r="W186" t="str">
        <f t="shared" si="13"/>
        <v>NYMEX</v>
      </c>
    </row>
    <row r="187" spans="16:23" x14ac:dyDescent="0.2">
      <c r="P187" s="1" t="s">
        <v>271</v>
      </c>
      <c r="Q187" s="2">
        <v>44137</v>
      </c>
      <c r="R187" s="2">
        <v>47025</v>
      </c>
      <c r="S187" s="2">
        <v>47028</v>
      </c>
      <c r="T187" s="5" t="s">
        <v>422</v>
      </c>
      <c r="U187" s="2">
        <f t="shared" si="14"/>
        <v>47025</v>
      </c>
      <c r="V187" t="str">
        <f t="shared" si="15"/>
        <v>BZ</v>
      </c>
      <c r="W187" t="str">
        <f t="shared" si="13"/>
        <v>NYMEX</v>
      </c>
    </row>
    <row r="188" spans="16:23" x14ac:dyDescent="0.2">
      <c r="P188" s="1" t="s">
        <v>272</v>
      </c>
      <c r="Q188" s="2">
        <v>44137</v>
      </c>
      <c r="R188" s="2">
        <v>47057</v>
      </c>
      <c r="S188" s="2">
        <v>47058</v>
      </c>
      <c r="T188" s="5" t="s">
        <v>422</v>
      </c>
      <c r="U188" s="2">
        <f t="shared" si="14"/>
        <v>47057</v>
      </c>
      <c r="V188" t="str">
        <f t="shared" si="15"/>
        <v>BZ</v>
      </c>
      <c r="W188" t="str">
        <f t="shared" si="13"/>
        <v>NYMEX</v>
      </c>
    </row>
    <row r="189" spans="16:23" x14ac:dyDescent="0.2">
      <c r="P189" s="1" t="s">
        <v>273</v>
      </c>
      <c r="Q189" s="2">
        <v>44137</v>
      </c>
      <c r="R189" s="2">
        <v>47087</v>
      </c>
      <c r="S189" s="2">
        <v>47088</v>
      </c>
      <c r="T189" s="5" t="s">
        <v>422</v>
      </c>
      <c r="U189" s="2">
        <f t="shared" si="14"/>
        <v>47087</v>
      </c>
      <c r="V189" t="str">
        <f t="shared" si="15"/>
        <v>BZ</v>
      </c>
      <c r="W189" t="str">
        <f t="shared" si="13"/>
        <v>NYMEX</v>
      </c>
    </row>
    <row r="190" spans="16:23" x14ac:dyDescent="0.2">
      <c r="P190" s="1" t="s">
        <v>274</v>
      </c>
      <c r="Q190" s="2">
        <v>44137</v>
      </c>
      <c r="R190" s="2">
        <v>47115</v>
      </c>
      <c r="S190" s="2">
        <v>47116</v>
      </c>
      <c r="T190" s="5" t="s">
        <v>422</v>
      </c>
      <c r="U190" s="2">
        <f t="shared" si="14"/>
        <v>47115</v>
      </c>
      <c r="V190" t="str">
        <f t="shared" si="15"/>
        <v>BZ</v>
      </c>
      <c r="W190" t="str">
        <f t="shared" si="13"/>
        <v>NYMEX</v>
      </c>
    </row>
    <row r="191" spans="16:23" x14ac:dyDescent="0.2">
      <c r="P191" s="1" t="s">
        <v>275</v>
      </c>
      <c r="Q191" s="2">
        <v>44137</v>
      </c>
      <c r="R191" s="2">
        <v>47149</v>
      </c>
      <c r="S191" s="2">
        <v>47150</v>
      </c>
      <c r="T191" s="5" t="s">
        <v>422</v>
      </c>
      <c r="U191" s="2">
        <f t="shared" si="14"/>
        <v>47149</v>
      </c>
      <c r="V191" t="str">
        <f t="shared" si="15"/>
        <v>BZ</v>
      </c>
      <c r="W191" t="str">
        <f t="shared" si="13"/>
        <v>NYMEX</v>
      </c>
    </row>
    <row r="192" spans="16:23" x14ac:dyDescent="0.2">
      <c r="P192" s="1" t="s">
        <v>276</v>
      </c>
      <c r="Q192" s="2">
        <v>44501</v>
      </c>
      <c r="R192" s="2">
        <v>47177</v>
      </c>
      <c r="S192" s="2">
        <v>47178</v>
      </c>
      <c r="T192" s="5" t="s">
        <v>422</v>
      </c>
      <c r="U192" s="2">
        <f t="shared" si="14"/>
        <v>47177</v>
      </c>
      <c r="V192" t="str">
        <f t="shared" si="15"/>
        <v>BZ</v>
      </c>
      <c r="W192" t="str">
        <f t="shared" si="13"/>
        <v>NYMEX</v>
      </c>
    </row>
    <row r="193" spans="16:23" x14ac:dyDescent="0.2">
      <c r="P193" s="1" t="s">
        <v>277</v>
      </c>
      <c r="Q193" s="2">
        <v>44501</v>
      </c>
      <c r="R193" s="2">
        <v>47206</v>
      </c>
      <c r="S193" s="2">
        <v>47210</v>
      </c>
      <c r="T193" s="5" t="s">
        <v>422</v>
      </c>
      <c r="U193" s="2">
        <f t="shared" si="14"/>
        <v>47206</v>
      </c>
      <c r="V193" t="str">
        <f t="shared" si="15"/>
        <v>BZ</v>
      </c>
      <c r="W193" t="str">
        <f t="shared" si="13"/>
        <v>NYMEX</v>
      </c>
    </row>
    <row r="194" spans="16:23" x14ac:dyDescent="0.2">
      <c r="P194" s="1" t="s">
        <v>278</v>
      </c>
      <c r="Q194" s="2">
        <v>44501</v>
      </c>
      <c r="R194" s="2">
        <v>47238</v>
      </c>
      <c r="S194" s="2">
        <v>47239</v>
      </c>
      <c r="T194" s="5" t="s">
        <v>422</v>
      </c>
      <c r="U194" s="2">
        <f t="shared" si="14"/>
        <v>47238</v>
      </c>
      <c r="V194" t="str">
        <f t="shared" si="15"/>
        <v>BZ</v>
      </c>
      <c r="W194" t="str">
        <f t="shared" si="13"/>
        <v>NYMEX</v>
      </c>
    </row>
    <row r="195" spans="16:23" x14ac:dyDescent="0.2">
      <c r="P195" s="1" t="s">
        <v>279</v>
      </c>
      <c r="Q195" s="2">
        <v>44501</v>
      </c>
      <c r="R195" s="2">
        <v>47269</v>
      </c>
      <c r="S195" s="2">
        <v>47270</v>
      </c>
      <c r="T195" s="5" t="s">
        <v>422</v>
      </c>
      <c r="U195" s="2">
        <f t="shared" si="14"/>
        <v>47269</v>
      </c>
      <c r="V195" t="str">
        <f t="shared" si="15"/>
        <v>BZ</v>
      </c>
      <c r="W195" t="str">
        <f t="shared" ref="W195:W258" si="16">IFERROR(INDEX(AC:AC, MATCH(V195,AB:AB,0)),"---")</f>
        <v>NYMEX</v>
      </c>
    </row>
    <row r="196" spans="16:23" x14ac:dyDescent="0.2">
      <c r="P196" s="1" t="s">
        <v>280</v>
      </c>
      <c r="Q196" s="2">
        <v>44501</v>
      </c>
      <c r="R196" s="2">
        <v>47298</v>
      </c>
      <c r="S196" s="2">
        <v>47301</v>
      </c>
      <c r="T196" s="5" t="s">
        <v>422</v>
      </c>
      <c r="U196" s="2">
        <f t="shared" ref="U196:U259" si="17">MIN(R196:T196)</f>
        <v>47298</v>
      </c>
      <c r="V196" t="str">
        <f t="shared" ref="V196:V259" si="18">MID(P196,1,LEN(P196)-3)</f>
        <v>BZ</v>
      </c>
      <c r="W196" t="str">
        <f t="shared" si="16"/>
        <v>NYMEX</v>
      </c>
    </row>
    <row r="197" spans="16:23" x14ac:dyDescent="0.2">
      <c r="P197" s="1" t="s">
        <v>281</v>
      </c>
      <c r="Q197" s="2">
        <v>44501</v>
      </c>
      <c r="R197" s="2">
        <v>47330</v>
      </c>
      <c r="S197" s="2">
        <v>47331</v>
      </c>
      <c r="T197" s="5" t="s">
        <v>422</v>
      </c>
      <c r="U197" s="2">
        <f t="shared" si="17"/>
        <v>47330</v>
      </c>
      <c r="V197" t="str">
        <f t="shared" si="18"/>
        <v>BZ</v>
      </c>
      <c r="W197" t="str">
        <f t="shared" si="16"/>
        <v>NYMEX</v>
      </c>
    </row>
    <row r="198" spans="16:23" x14ac:dyDescent="0.2">
      <c r="P198" s="1" t="s">
        <v>282</v>
      </c>
      <c r="Q198" s="2">
        <v>44501</v>
      </c>
      <c r="R198" s="2">
        <v>47361</v>
      </c>
      <c r="S198" s="2">
        <v>47365</v>
      </c>
      <c r="T198" s="5" t="s">
        <v>422</v>
      </c>
      <c r="U198" s="2">
        <f t="shared" si="17"/>
        <v>47361</v>
      </c>
      <c r="V198" t="str">
        <f t="shared" si="18"/>
        <v>BZ</v>
      </c>
      <c r="W198" t="str">
        <f t="shared" si="16"/>
        <v>NYMEX</v>
      </c>
    </row>
    <row r="199" spans="16:23" x14ac:dyDescent="0.2">
      <c r="P199" s="1" t="s">
        <v>283</v>
      </c>
      <c r="Q199" s="2">
        <v>44501</v>
      </c>
      <c r="R199" s="2">
        <v>47389</v>
      </c>
      <c r="S199" s="2">
        <v>47392</v>
      </c>
      <c r="T199" s="5" t="s">
        <v>422</v>
      </c>
      <c r="U199" s="2">
        <f t="shared" si="17"/>
        <v>47389</v>
      </c>
      <c r="V199" t="str">
        <f t="shared" si="18"/>
        <v>BZ</v>
      </c>
      <c r="W199" t="str">
        <f t="shared" si="16"/>
        <v>NYMEX</v>
      </c>
    </row>
    <row r="200" spans="16:23" x14ac:dyDescent="0.2">
      <c r="P200" s="1" t="s">
        <v>284</v>
      </c>
      <c r="Q200" s="2">
        <v>44501</v>
      </c>
      <c r="R200" s="2">
        <v>47422</v>
      </c>
      <c r="S200" s="2">
        <v>47423</v>
      </c>
      <c r="T200" s="5" t="s">
        <v>422</v>
      </c>
      <c r="U200" s="2">
        <f t="shared" si="17"/>
        <v>47422</v>
      </c>
      <c r="V200" t="str">
        <f t="shared" si="18"/>
        <v>BZ</v>
      </c>
      <c r="W200" t="str">
        <f t="shared" si="16"/>
        <v>NYMEX</v>
      </c>
    </row>
    <row r="201" spans="16:23" x14ac:dyDescent="0.2">
      <c r="P201" s="1" t="s">
        <v>285</v>
      </c>
      <c r="Q201" s="2">
        <v>44501</v>
      </c>
      <c r="R201" s="2">
        <v>47452</v>
      </c>
      <c r="S201" s="2">
        <v>47455</v>
      </c>
      <c r="T201" s="5" t="s">
        <v>422</v>
      </c>
      <c r="U201" s="2">
        <f t="shared" si="17"/>
        <v>47452</v>
      </c>
      <c r="V201" t="str">
        <f t="shared" si="18"/>
        <v>BZ</v>
      </c>
      <c r="W201" t="str">
        <f t="shared" si="16"/>
        <v>NYMEX</v>
      </c>
    </row>
    <row r="202" spans="16:23" x14ac:dyDescent="0.2">
      <c r="P202" s="1" t="s">
        <v>286</v>
      </c>
      <c r="Q202" s="2">
        <v>44501</v>
      </c>
      <c r="R202" s="2">
        <v>47480</v>
      </c>
      <c r="S202" s="2">
        <v>47483</v>
      </c>
      <c r="T202" s="5" t="s">
        <v>422</v>
      </c>
      <c r="U202" s="2">
        <f t="shared" si="17"/>
        <v>47480</v>
      </c>
      <c r="V202" t="str">
        <f t="shared" si="18"/>
        <v>BZ</v>
      </c>
      <c r="W202" t="str">
        <f t="shared" si="16"/>
        <v>NYMEX</v>
      </c>
    </row>
    <row r="203" spans="16:23" x14ac:dyDescent="0.2">
      <c r="P203" s="1" t="s">
        <v>287</v>
      </c>
      <c r="Q203" s="2">
        <v>44501</v>
      </c>
      <c r="R203" s="2">
        <v>47514</v>
      </c>
      <c r="S203" s="2">
        <v>47515</v>
      </c>
      <c r="T203" s="5" t="s">
        <v>422</v>
      </c>
      <c r="U203" s="2">
        <f t="shared" si="17"/>
        <v>47514</v>
      </c>
      <c r="V203" t="str">
        <f t="shared" si="18"/>
        <v>BZ</v>
      </c>
      <c r="W203" t="str">
        <f t="shared" si="16"/>
        <v>NYMEX</v>
      </c>
    </row>
    <row r="204" spans="16:23" x14ac:dyDescent="0.2">
      <c r="P204" s="1" t="s">
        <v>288</v>
      </c>
      <c r="Q204" s="2">
        <v>44866</v>
      </c>
      <c r="R204" s="2">
        <v>47542</v>
      </c>
      <c r="S204" s="2">
        <v>47543</v>
      </c>
      <c r="T204" s="5" t="s">
        <v>422</v>
      </c>
      <c r="U204" s="2">
        <f t="shared" si="17"/>
        <v>47542</v>
      </c>
      <c r="V204" t="str">
        <f t="shared" si="18"/>
        <v>BZ</v>
      </c>
      <c r="W204" t="str">
        <f t="shared" si="16"/>
        <v>NYMEX</v>
      </c>
    </row>
    <row r="205" spans="16:23" x14ac:dyDescent="0.2">
      <c r="P205" s="1" t="s">
        <v>289</v>
      </c>
      <c r="Q205" s="2">
        <v>44866</v>
      </c>
      <c r="R205" s="2">
        <v>47571</v>
      </c>
      <c r="S205" s="2">
        <v>47574</v>
      </c>
      <c r="T205" s="5" t="s">
        <v>422</v>
      </c>
      <c r="U205" s="2">
        <f t="shared" si="17"/>
        <v>47571</v>
      </c>
      <c r="V205" t="str">
        <f t="shared" si="18"/>
        <v>BZ</v>
      </c>
      <c r="W205" t="str">
        <f t="shared" si="16"/>
        <v>NYMEX</v>
      </c>
    </row>
    <row r="206" spans="16:23" x14ac:dyDescent="0.2">
      <c r="P206" s="1" t="s">
        <v>290</v>
      </c>
      <c r="Q206" s="2">
        <v>44866</v>
      </c>
      <c r="R206" s="2">
        <v>47603</v>
      </c>
      <c r="S206" s="2">
        <v>47604</v>
      </c>
      <c r="T206" s="5" t="s">
        <v>422</v>
      </c>
      <c r="U206" s="2">
        <f t="shared" si="17"/>
        <v>47603</v>
      </c>
      <c r="V206" t="str">
        <f t="shared" si="18"/>
        <v>BZ</v>
      </c>
      <c r="W206" t="str">
        <f t="shared" si="16"/>
        <v>NYMEX</v>
      </c>
    </row>
    <row r="207" spans="16:23" x14ac:dyDescent="0.2">
      <c r="P207" s="1" t="s">
        <v>291</v>
      </c>
      <c r="Q207" s="2">
        <v>44866</v>
      </c>
      <c r="R207" s="2">
        <v>47634</v>
      </c>
      <c r="S207" s="2">
        <v>47637</v>
      </c>
      <c r="T207" s="5" t="s">
        <v>422</v>
      </c>
      <c r="U207" s="2">
        <f t="shared" si="17"/>
        <v>47634</v>
      </c>
      <c r="V207" t="str">
        <f t="shared" si="18"/>
        <v>BZ</v>
      </c>
      <c r="W207" t="str">
        <f t="shared" si="16"/>
        <v>NYMEX</v>
      </c>
    </row>
    <row r="208" spans="16:23" x14ac:dyDescent="0.2">
      <c r="P208" s="1" t="s">
        <v>292</v>
      </c>
      <c r="Q208" s="2">
        <v>44866</v>
      </c>
      <c r="R208" s="2">
        <v>47662</v>
      </c>
      <c r="S208" s="2">
        <v>47665</v>
      </c>
      <c r="T208" s="5" t="s">
        <v>422</v>
      </c>
      <c r="U208" s="2">
        <f t="shared" si="17"/>
        <v>47662</v>
      </c>
      <c r="V208" t="str">
        <f t="shared" si="18"/>
        <v>BZ</v>
      </c>
      <c r="W208" t="str">
        <f t="shared" si="16"/>
        <v>NYMEX</v>
      </c>
    </row>
    <row r="209" spans="16:23" x14ac:dyDescent="0.2">
      <c r="P209" s="1" t="s">
        <v>293</v>
      </c>
      <c r="Q209" s="2">
        <v>44866</v>
      </c>
      <c r="R209" s="2">
        <v>47695</v>
      </c>
      <c r="S209" s="2">
        <v>47696</v>
      </c>
      <c r="T209" s="5" t="s">
        <v>422</v>
      </c>
      <c r="U209" s="2">
        <f t="shared" si="17"/>
        <v>47695</v>
      </c>
      <c r="V209" t="str">
        <f t="shared" si="18"/>
        <v>BZ</v>
      </c>
      <c r="W209" t="str">
        <f t="shared" si="16"/>
        <v>NYMEX</v>
      </c>
    </row>
    <row r="210" spans="16:23" x14ac:dyDescent="0.2">
      <c r="P210" s="1" t="s">
        <v>294</v>
      </c>
      <c r="Q210" s="2">
        <v>44866</v>
      </c>
      <c r="R210" s="2">
        <v>47725</v>
      </c>
      <c r="S210" s="2">
        <v>47729</v>
      </c>
      <c r="T210" s="5" t="s">
        <v>422</v>
      </c>
      <c r="U210" s="2">
        <f t="shared" si="17"/>
        <v>47725</v>
      </c>
      <c r="V210" t="str">
        <f t="shared" si="18"/>
        <v>BZ</v>
      </c>
      <c r="W210" t="str">
        <f t="shared" si="16"/>
        <v>NYMEX</v>
      </c>
    </row>
    <row r="211" spans="16:23" x14ac:dyDescent="0.2">
      <c r="P211" s="1" t="s">
        <v>295</v>
      </c>
      <c r="Q211" s="2">
        <v>44866</v>
      </c>
      <c r="R211" s="2">
        <v>47756</v>
      </c>
      <c r="S211" s="2">
        <v>47757</v>
      </c>
      <c r="T211" s="5" t="s">
        <v>422</v>
      </c>
      <c r="U211" s="2">
        <f t="shared" si="17"/>
        <v>47756</v>
      </c>
      <c r="V211" t="str">
        <f t="shared" si="18"/>
        <v>BZ</v>
      </c>
      <c r="W211" t="str">
        <f t="shared" si="16"/>
        <v>NYMEX</v>
      </c>
    </row>
    <row r="212" spans="16:23" x14ac:dyDescent="0.2">
      <c r="P212" s="1" t="s">
        <v>296</v>
      </c>
      <c r="Q212" s="2">
        <v>44866</v>
      </c>
      <c r="R212" s="2">
        <v>47787</v>
      </c>
      <c r="S212" s="2">
        <v>47788</v>
      </c>
      <c r="T212" s="5" t="s">
        <v>422</v>
      </c>
      <c r="U212" s="2">
        <f t="shared" si="17"/>
        <v>47787</v>
      </c>
      <c r="V212" t="str">
        <f t="shared" si="18"/>
        <v>BZ</v>
      </c>
      <c r="W212" t="str">
        <f t="shared" si="16"/>
        <v>NYMEX</v>
      </c>
    </row>
    <row r="213" spans="16:23" x14ac:dyDescent="0.2">
      <c r="P213" s="1" t="s">
        <v>297</v>
      </c>
      <c r="Q213" s="2">
        <v>44866</v>
      </c>
      <c r="R213" s="2">
        <v>47816</v>
      </c>
      <c r="S213" s="2">
        <v>47819</v>
      </c>
      <c r="T213" s="5" t="s">
        <v>422</v>
      </c>
      <c r="U213" s="2">
        <f t="shared" si="17"/>
        <v>47816</v>
      </c>
      <c r="V213" t="str">
        <f t="shared" si="18"/>
        <v>BZ</v>
      </c>
      <c r="W213" t="str">
        <f t="shared" si="16"/>
        <v>NYMEX</v>
      </c>
    </row>
    <row r="214" spans="16:23" x14ac:dyDescent="0.2">
      <c r="P214" s="1" t="s">
        <v>298</v>
      </c>
      <c r="Q214" s="2">
        <v>44866</v>
      </c>
      <c r="R214" s="2">
        <v>47847</v>
      </c>
      <c r="S214" s="2">
        <v>47848</v>
      </c>
      <c r="T214" s="5" t="s">
        <v>422</v>
      </c>
      <c r="U214" s="2">
        <f t="shared" si="17"/>
        <v>47847</v>
      </c>
      <c r="V214" t="str">
        <f t="shared" si="18"/>
        <v>BZ</v>
      </c>
      <c r="W214" t="str">
        <f t="shared" si="16"/>
        <v>NYMEX</v>
      </c>
    </row>
    <row r="215" spans="16:23" x14ac:dyDescent="0.2">
      <c r="P215" s="1" t="s">
        <v>299</v>
      </c>
      <c r="Q215" s="2">
        <v>44866</v>
      </c>
      <c r="R215" s="2">
        <v>47879</v>
      </c>
      <c r="S215" s="2">
        <v>47882</v>
      </c>
      <c r="T215" s="5" t="s">
        <v>422</v>
      </c>
      <c r="U215" s="2">
        <f t="shared" si="17"/>
        <v>47879</v>
      </c>
      <c r="V215" t="str">
        <f t="shared" si="18"/>
        <v>BZ</v>
      </c>
      <c r="W215" t="str">
        <f t="shared" si="16"/>
        <v>NYMEX</v>
      </c>
    </row>
    <row r="216" spans="16:23" x14ac:dyDescent="0.2">
      <c r="P216" s="1" t="s">
        <v>300</v>
      </c>
      <c r="Q216" s="2">
        <v>45231</v>
      </c>
      <c r="R216" s="2">
        <v>47907</v>
      </c>
      <c r="S216" s="2">
        <v>47910</v>
      </c>
      <c r="T216" s="5" t="s">
        <v>422</v>
      </c>
      <c r="U216" s="2">
        <f t="shared" si="17"/>
        <v>47907</v>
      </c>
      <c r="V216" t="str">
        <f t="shared" si="18"/>
        <v>BZ</v>
      </c>
      <c r="W216" t="str">
        <f t="shared" si="16"/>
        <v>NYMEX</v>
      </c>
    </row>
    <row r="217" spans="16:23" x14ac:dyDescent="0.2">
      <c r="P217" s="1" t="s">
        <v>301</v>
      </c>
      <c r="Q217" s="2">
        <v>45231</v>
      </c>
      <c r="R217" s="2">
        <v>47938</v>
      </c>
      <c r="S217" s="2">
        <v>47939</v>
      </c>
      <c r="T217" s="5" t="s">
        <v>422</v>
      </c>
      <c r="U217" s="2">
        <f t="shared" si="17"/>
        <v>47938</v>
      </c>
      <c r="V217" t="str">
        <f t="shared" si="18"/>
        <v>BZ</v>
      </c>
      <c r="W217" t="str">
        <f t="shared" si="16"/>
        <v>NYMEX</v>
      </c>
    </row>
    <row r="218" spans="16:23" x14ac:dyDescent="0.2">
      <c r="P218" s="1" t="s">
        <v>302</v>
      </c>
      <c r="Q218" s="2">
        <v>45231</v>
      </c>
      <c r="R218" s="2">
        <v>47968</v>
      </c>
      <c r="S218" s="2">
        <v>47969</v>
      </c>
      <c r="T218" s="5" t="s">
        <v>422</v>
      </c>
      <c r="U218" s="2">
        <f t="shared" si="17"/>
        <v>47968</v>
      </c>
      <c r="V218" t="str">
        <f t="shared" si="18"/>
        <v>BZ</v>
      </c>
      <c r="W218" t="str">
        <f t="shared" si="16"/>
        <v>NYMEX</v>
      </c>
    </row>
    <row r="219" spans="16:23" x14ac:dyDescent="0.2">
      <c r="P219" s="1" t="s">
        <v>303</v>
      </c>
      <c r="Q219" s="2">
        <v>45231</v>
      </c>
      <c r="R219" s="2">
        <v>47998</v>
      </c>
      <c r="S219" s="2">
        <v>48001</v>
      </c>
      <c r="T219" s="5" t="s">
        <v>422</v>
      </c>
      <c r="U219" s="2">
        <f t="shared" si="17"/>
        <v>47998</v>
      </c>
      <c r="V219" t="str">
        <f t="shared" si="18"/>
        <v>BZ</v>
      </c>
      <c r="W219" t="str">
        <f t="shared" si="16"/>
        <v>NYMEX</v>
      </c>
    </row>
    <row r="220" spans="16:23" x14ac:dyDescent="0.2">
      <c r="P220" s="1" t="s">
        <v>304</v>
      </c>
      <c r="Q220" s="2">
        <v>45231</v>
      </c>
      <c r="R220" s="2">
        <v>48029</v>
      </c>
      <c r="S220" s="2">
        <v>48030</v>
      </c>
      <c r="T220" s="5" t="s">
        <v>422</v>
      </c>
      <c r="U220" s="2">
        <f t="shared" si="17"/>
        <v>48029</v>
      </c>
      <c r="V220" t="str">
        <f t="shared" si="18"/>
        <v>BZ</v>
      </c>
      <c r="W220" t="str">
        <f t="shared" si="16"/>
        <v>NYMEX</v>
      </c>
    </row>
    <row r="221" spans="16:23" x14ac:dyDescent="0.2">
      <c r="P221" s="1" t="s">
        <v>305</v>
      </c>
      <c r="Q221" s="2">
        <v>45231</v>
      </c>
      <c r="R221" s="2">
        <v>48060</v>
      </c>
      <c r="S221" s="2">
        <v>48061</v>
      </c>
      <c r="T221" s="5" t="s">
        <v>422</v>
      </c>
      <c r="U221" s="2">
        <f t="shared" si="17"/>
        <v>48060</v>
      </c>
      <c r="V221" t="str">
        <f t="shared" si="18"/>
        <v>BZ</v>
      </c>
      <c r="W221" t="str">
        <f t="shared" si="16"/>
        <v>NYMEX</v>
      </c>
    </row>
    <row r="222" spans="16:23" x14ac:dyDescent="0.2">
      <c r="P222" s="1" t="s">
        <v>306</v>
      </c>
      <c r="Q222" s="2">
        <v>45231</v>
      </c>
      <c r="R222" s="2">
        <v>48089</v>
      </c>
      <c r="S222" s="2">
        <v>48093</v>
      </c>
      <c r="T222" s="5" t="s">
        <v>422</v>
      </c>
      <c r="U222" s="2">
        <f t="shared" si="17"/>
        <v>48089</v>
      </c>
      <c r="V222" t="str">
        <f t="shared" si="18"/>
        <v>BZ</v>
      </c>
      <c r="W222" t="str">
        <f t="shared" si="16"/>
        <v>NYMEX</v>
      </c>
    </row>
    <row r="223" spans="16:23" x14ac:dyDescent="0.2">
      <c r="P223" s="1" t="s">
        <v>307</v>
      </c>
      <c r="Q223" s="2">
        <v>45231</v>
      </c>
      <c r="R223" s="2">
        <v>48121</v>
      </c>
      <c r="S223" s="2">
        <v>48122</v>
      </c>
      <c r="T223" s="5" t="s">
        <v>422</v>
      </c>
      <c r="U223" s="2">
        <f t="shared" si="17"/>
        <v>48121</v>
      </c>
      <c r="V223" t="str">
        <f t="shared" si="18"/>
        <v>BZ</v>
      </c>
      <c r="W223" t="str">
        <f t="shared" si="16"/>
        <v>NYMEX</v>
      </c>
    </row>
    <row r="224" spans="16:23" x14ac:dyDescent="0.2">
      <c r="P224" s="1" t="s">
        <v>308</v>
      </c>
      <c r="Q224" s="2">
        <v>45231</v>
      </c>
      <c r="R224" s="2">
        <v>48152</v>
      </c>
      <c r="S224" s="2">
        <v>48155</v>
      </c>
      <c r="T224" s="5" t="s">
        <v>422</v>
      </c>
      <c r="U224" s="2">
        <f t="shared" si="17"/>
        <v>48152</v>
      </c>
      <c r="V224" t="str">
        <f t="shared" si="18"/>
        <v>BZ</v>
      </c>
      <c r="W224" t="str">
        <f t="shared" si="16"/>
        <v>NYMEX</v>
      </c>
    </row>
    <row r="225" spans="16:23" x14ac:dyDescent="0.2">
      <c r="P225" s="1" t="s">
        <v>309</v>
      </c>
      <c r="Q225" s="2">
        <v>45231</v>
      </c>
      <c r="R225" s="2">
        <v>48180</v>
      </c>
      <c r="S225" s="2">
        <v>48183</v>
      </c>
      <c r="T225" s="5" t="s">
        <v>422</v>
      </c>
      <c r="U225" s="2">
        <f t="shared" si="17"/>
        <v>48180</v>
      </c>
      <c r="V225" t="str">
        <f t="shared" si="18"/>
        <v>BZ</v>
      </c>
      <c r="W225" t="str">
        <f t="shared" si="16"/>
        <v>NYMEX</v>
      </c>
    </row>
    <row r="226" spans="16:23" x14ac:dyDescent="0.2">
      <c r="P226" s="1" t="s">
        <v>310</v>
      </c>
      <c r="Q226" s="2">
        <v>45231</v>
      </c>
      <c r="R226" s="2">
        <v>48212</v>
      </c>
      <c r="S226" s="2">
        <v>48213</v>
      </c>
      <c r="T226" s="5" t="s">
        <v>422</v>
      </c>
      <c r="U226" s="2">
        <f t="shared" si="17"/>
        <v>48212</v>
      </c>
      <c r="V226" t="str">
        <f t="shared" si="18"/>
        <v>BZ</v>
      </c>
      <c r="W226" t="str">
        <f t="shared" si="16"/>
        <v>NYMEX</v>
      </c>
    </row>
    <row r="227" spans="16:23" x14ac:dyDescent="0.2">
      <c r="P227" s="1" t="s">
        <v>311</v>
      </c>
      <c r="Q227" s="2">
        <v>45231</v>
      </c>
      <c r="R227" s="2">
        <v>48243</v>
      </c>
      <c r="S227" s="2">
        <v>48246</v>
      </c>
      <c r="T227" s="5" t="s">
        <v>422</v>
      </c>
      <c r="U227" s="2">
        <f t="shared" si="17"/>
        <v>48243</v>
      </c>
      <c r="V227" t="str">
        <f t="shared" si="18"/>
        <v>BZ</v>
      </c>
      <c r="W227" t="str">
        <f t="shared" si="16"/>
        <v>NYMEX</v>
      </c>
    </row>
    <row r="228" spans="16:23" x14ac:dyDescent="0.2">
      <c r="P228" s="1" t="s">
        <v>312</v>
      </c>
      <c r="Q228" s="2">
        <v>45597</v>
      </c>
      <c r="R228" s="2">
        <v>48271</v>
      </c>
      <c r="S228" s="2">
        <v>48274</v>
      </c>
      <c r="T228" s="5" t="s">
        <v>422</v>
      </c>
      <c r="U228" s="2">
        <f t="shared" si="17"/>
        <v>48271</v>
      </c>
      <c r="V228" t="str">
        <f t="shared" si="18"/>
        <v>BZ</v>
      </c>
      <c r="W228" t="str">
        <f t="shared" si="16"/>
        <v>NYMEX</v>
      </c>
    </row>
    <row r="229" spans="16:23" x14ac:dyDescent="0.2">
      <c r="P229" s="1" t="s">
        <v>313</v>
      </c>
      <c r="Q229" s="2">
        <v>45597</v>
      </c>
      <c r="R229" s="2">
        <v>48304</v>
      </c>
      <c r="S229" s="2">
        <v>48305</v>
      </c>
      <c r="T229" s="5" t="s">
        <v>422</v>
      </c>
      <c r="U229" s="2">
        <f t="shared" si="17"/>
        <v>48304</v>
      </c>
      <c r="V229" t="str">
        <f t="shared" si="18"/>
        <v>BZ</v>
      </c>
      <c r="W229" t="str">
        <f t="shared" si="16"/>
        <v>NYMEX</v>
      </c>
    </row>
    <row r="230" spans="16:23" x14ac:dyDescent="0.2">
      <c r="P230" s="1" t="s">
        <v>314</v>
      </c>
      <c r="Q230" s="2">
        <v>45597</v>
      </c>
      <c r="R230" s="2">
        <v>48334</v>
      </c>
      <c r="S230" s="2">
        <v>48337</v>
      </c>
      <c r="T230" s="5" t="s">
        <v>422</v>
      </c>
      <c r="U230" s="2">
        <f t="shared" si="17"/>
        <v>48334</v>
      </c>
      <c r="V230" t="str">
        <f t="shared" si="18"/>
        <v>BZ</v>
      </c>
      <c r="W230" t="str">
        <f t="shared" si="16"/>
        <v>NYMEX</v>
      </c>
    </row>
    <row r="231" spans="16:23" x14ac:dyDescent="0.2">
      <c r="P231" s="1" t="s">
        <v>315</v>
      </c>
      <c r="Q231" s="2">
        <v>45597</v>
      </c>
      <c r="R231" s="2">
        <v>48362</v>
      </c>
      <c r="S231" s="2">
        <v>48366</v>
      </c>
      <c r="T231" s="5" t="s">
        <v>422</v>
      </c>
      <c r="U231" s="2">
        <f t="shared" si="17"/>
        <v>48362</v>
      </c>
      <c r="V231" t="str">
        <f t="shared" si="18"/>
        <v>BZ</v>
      </c>
      <c r="W231" t="str">
        <f t="shared" si="16"/>
        <v>NYMEX</v>
      </c>
    </row>
    <row r="232" spans="16:23" x14ac:dyDescent="0.2">
      <c r="P232" s="1" t="s">
        <v>316</v>
      </c>
      <c r="Q232" s="2">
        <v>45597</v>
      </c>
      <c r="R232" s="2">
        <v>48395</v>
      </c>
      <c r="S232" s="2">
        <v>48396</v>
      </c>
      <c r="T232" s="5" t="s">
        <v>422</v>
      </c>
      <c r="U232" s="2">
        <f t="shared" si="17"/>
        <v>48395</v>
      </c>
      <c r="V232" t="str">
        <f t="shared" si="18"/>
        <v>BZ</v>
      </c>
      <c r="W232" t="str">
        <f t="shared" si="16"/>
        <v>NYMEX</v>
      </c>
    </row>
    <row r="233" spans="16:23" x14ac:dyDescent="0.2">
      <c r="P233" s="1" t="s">
        <v>317</v>
      </c>
      <c r="Q233" s="2">
        <v>45597</v>
      </c>
      <c r="R233" s="2">
        <v>48425</v>
      </c>
      <c r="S233" s="2">
        <v>48428</v>
      </c>
      <c r="T233" s="5" t="s">
        <v>422</v>
      </c>
      <c r="U233" s="2">
        <f t="shared" si="17"/>
        <v>48425</v>
      </c>
      <c r="V233" t="str">
        <f t="shared" si="18"/>
        <v>BZ</v>
      </c>
      <c r="W233" t="str">
        <f t="shared" si="16"/>
        <v>NYMEX</v>
      </c>
    </row>
    <row r="234" spans="16:23" x14ac:dyDescent="0.2">
      <c r="P234" s="1" t="s">
        <v>318</v>
      </c>
      <c r="Q234" s="2">
        <v>45597</v>
      </c>
      <c r="R234" s="2">
        <v>48457</v>
      </c>
      <c r="S234" s="2">
        <v>48458</v>
      </c>
      <c r="T234" s="5" t="s">
        <v>422</v>
      </c>
      <c r="U234" s="2">
        <f t="shared" si="17"/>
        <v>48457</v>
      </c>
      <c r="V234" t="str">
        <f t="shared" si="18"/>
        <v>BZ</v>
      </c>
      <c r="W234" t="str">
        <f t="shared" si="16"/>
        <v>NYMEX</v>
      </c>
    </row>
    <row r="235" spans="16:23" x14ac:dyDescent="0.2">
      <c r="P235" s="1" t="s">
        <v>319</v>
      </c>
      <c r="Q235" s="2">
        <v>45597</v>
      </c>
      <c r="R235" s="2">
        <v>48487</v>
      </c>
      <c r="S235" s="2">
        <v>48488</v>
      </c>
      <c r="T235" s="5" t="s">
        <v>422</v>
      </c>
      <c r="U235" s="2">
        <f t="shared" si="17"/>
        <v>48487</v>
      </c>
      <c r="V235" t="str">
        <f t="shared" si="18"/>
        <v>BZ</v>
      </c>
      <c r="W235" t="str">
        <f t="shared" si="16"/>
        <v>NYMEX</v>
      </c>
    </row>
    <row r="236" spans="16:23" x14ac:dyDescent="0.2">
      <c r="P236" s="1" t="s">
        <v>320</v>
      </c>
      <c r="Q236" s="2">
        <v>45597</v>
      </c>
      <c r="R236" s="2">
        <v>48516</v>
      </c>
      <c r="S236" s="2">
        <v>48519</v>
      </c>
      <c r="T236" s="5" t="s">
        <v>422</v>
      </c>
      <c r="U236" s="2">
        <f t="shared" si="17"/>
        <v>48516</v>
      </c>
      <c r="V236" t="str">
        <f t="shared" si="18"/>
        <v>BZ</v>
      </c>
      <c r="W236" t="str">
        <f t="shared" si="16"/>
        <v>NYMEX</v>
      </c>
    </row>
    <row r="237" spans="16:23" x14ac:dyDescent="0.2">
      <c r="P237" s="1" t="s">
        <v>321</v>
      </c>
      <c r="Q237" s="2">
        <v>45597</v>
      </c>
      <c r="R237" s="2">
        <v>48548</v>
      </c>
      <c r="S237" s="2">
        <v>48549</v>
      </c>
      <c r="T237" s="5" t="s">
        <v>422</v>
      </c>
      <c r="U237" s="2">
        <f t="shared" si="17"/>
        <v>48548</v>
      </c>
      <c r="V237" t="str">
        <f t="shared" si="18"/>
        <v>BZ</v>
      </c>
      <c r="W237" t="str">
        <f t="shared" si="16"/>
        <v>NYMEX</v>
      </c>
    </row>
    <row r="238" spans="16:23" x14ac:dyDescent="0.2">
      <c r="P238" s="1" t="s">
        <v>322</v>
      </c>
      <c r="Q238" s="2">
        <v>45597</v>
      </c>
      <c r="R238" s="2">
        <v>48578</v>
      </c>
      <c r="S238" s="2">
        <v>48579</v>
      </c>
      <c r="T238" s="5" t="s">
        <v>422</v>
      </c>
      <c r="U238" s="2">
        <f t="shared" si="17"/>
        <v>48578</v>
      </c>
      <c r="V238" t="str">
        <f t="shared" si="18"/>
        <v>BZ</v>
      </c>
      <c r="W238" t="str">
        <f t="shared" si="16"/>
        <v>NYMEX</v>
      </c>
    </row>
    <row r="239" spans="16:23" x14ac:dyDescent="0.2">
      <c r="P239" s="1" t="s">
        <v>323</v>
      </c>
      <c r="Q239" s="2">
        <v>45597</v>
      </c>
      <c r="R239" s="2">
        <v>48610</v>
      </c>
      <c r="S239" s="2">
        <v>48611</v>
      </c>
      <c r="T239" s="5" t="s">
        <v>422</v>
      </c>
      <c r="U239" s="2">
        <f t="shared" si="17"/>
        <v>48610</v>
      </c>
      <c r="V239" t="str">
        <f t="shared" si="18"/>
        <v>BZ</v>
      </c>
      <c r="W239" t="str">
        <f t="shared" si="16"/>
        <v>NYMEX</v>
      </c>
    </row>
    <row r="240" spans="16:23" x14ac:dyDescent="0.2">
      <c r="P240" s="1" t="s">
        <v>324</v>
      </c>
      <c r="Q240" s="2">
        <v>45964</v>
      </c>
      <c r="R240" s="2">
        <v>48638</v>
      </c>
      <c r="S240" s="2">
        <v>48639</v>
      </c>
      <c r="T240" s="5" t="s">
        <v>422</v>
      </c>
      <c r="U240" s="2">
        <f t="shared" si="17"/>
        <v>48638</v>
      </c>
      <c r="V240" t="str">
        <f t="shared" si="18"/>
        <v>BZ</v>
      </c>
      <c r="W240" t="str">
        <f t="shared" si="16"/>
        <v>NYMEX</v>
      </c>
    </row>
    <row r="241" spans="7:23" x14ac:dyDescent="0.2">
      <c r="P241" s="1" t="s">
        <v>325</v>
      </c>
      <c r="Q241" s="2">
        <v>45964</v>
      </c>
      <c r="R241" s="2">
        <v>48669</v>
      </c>
      <c r="S241" s="2">
        <v>48670</v>
      </c>
      <c r="T241" s="5" t="s">
        <v>422</v>
      </c>
      <c r="U241" s="2">
        <f t="shared" si="17"/>
        <v>48669</v>
      </c>
      <c r="V241" t="str">
        <f t="shared" si="18"/>
        <v>BZ</v>
      </c>
      <c r="W241" t="str">
        <f t="shared" si="16"/>
        <v>NYMEX</v>
      </c>
    </row>
    <row r="242" spans="7:23" x14ac:dyDescent="0.2">
      <c r="P242" s="1" t="s">
        <v>326</v>
      </c>
      <c r="Q242" s="2">
        <v>45964</v>
      </c>
      <c r="R242" s="2">
        <v>48698</v>
      </c>
      <c r="S242" s="2">
        <v>48701</v>
      </c>
      <c r="T242" s="5" t="s">
        <v>422</v>
      </c>
      <c r="U242" s="2">
        <f t="shared" si="17"/>
        <v>48698</v>
      </c>
      <c r="V242" t="str">
        <f t="shared" si="18"/>
        <v>BZ</v>
      </c>
      <c r="W242" t="str">
        <f t="shared" si="16"/>
        <v>NYMEX</v>
      </c>
    </row>
    <row r="243" spans="7:23" x14ac:dyDescent="0.2">
      <c r="P243" s="1" t="s">
        <v>327</v>
      </c>
      <c r="Q243" s="2">
        <v>45964</v>
      </c>
      <c r="R243" s="2">
        <v>48730</v>
      </c>
      <c r="S243" s="2">
        <v>48731</v>
      </c>
      <c r="T243" s="5" t="s">
        <v>422</v>
      </c>
      <c r="U243" s="2">
        <f t="shared" si="17"/>
        <v>48730</v>
      </c>
      <c r="V243" t="str">
        <f t="shared" si="18"/>
        <v>BZ</v>
      </c>
      <c r="W243" t="str">
        <f t="shared" si="16"/>
        <v>NYMEX</v>
      </c>
    </row>
    <row r="244" spans="7:23" x14ac:dyDescent="0.2">
      <c r="P244" s="1" t="s">
        <v>328</v>
      </c>
      <c r="Q244" s="2">
        <v>45964</v>
      </c>
      <c r="R244" s="2">
        <v>48760</v>
      </c>
      <c r="S244" s="2">
        <v>48761</v>
      </c>
      <c r="T244" s="5" t="s">
        <v>422</v>
      </c>
      <c r="U244" s="2">
        <f t="shared" si="17"/>
        <v>48760</v>
      </c>
      <c r="V244" t="str">
        <f t="shared" si="18"/>
        <v>BZ</v>
      </c>
      <c r="W244" t="str">
        <f t="shared" si="16"/>
        <v>NYMEX</v>
      </c>
    </row>
    <row r="245" spans="7:23" x14ac:dyDescent="0.2">
      <c r="P245" s="1" t="s">
        <v>329</v>
      </c>
      <c r="Q245" s="2">
        <v>45964</v>
      </c>
      <c r="R245" s="2">
        <v>48789</v>
      </c>
      <c r="S245" s="2">
        <v>48792</v>
      </c>
      <c r="T245" s="5" t="s">
        <v>422</v>
      </c>
      <c r="U245" s="2">
        <f t="shared" si="17"/>
        <v>48789</v>
      </c>
      <c r="V245" t="str">
        <f t="shared" si="18"/>
        <v>BZ</v>
      </c>
      <c r="W245" t="str">
        <f t="shared" si="16"/>
        <v>NYMEX</v>
      </c>
    </row>
    <row r="246" spans="7:23" x14ac:dyDescent="0.2">
      <c r="P246" s="1" t="s">
        <v>330</v>
      </c>
      <c r="Q246" s="2">
        <v>45964</v>
      </c>
      <c r="R246" s="2">
        <v>48822</v>
      </c>
      <c r="S246" s="2">
        <v>48823</v>
      </c>
      <c r="T246" s="5" t="s">
        <v>422</v>
      </c>
      <c r="U246" s="2">
        <f t="shared" si="17"/>
        <v>48822</v>
      </c>
      <c r="V246" t="str">
        <f t="shared" si="18"/>
        <v>BZ</v>
      </c>
      <c r="W246" t="str">
        <f t="shared" si="16"/>
        <v>NYMEX</v>
      </c>
    </row>
    <row r="247" spans="7:23" x14ac:dyDescent="0.2">
      <c r="P247" s="1" t="s">
        <v>331</v>
      </c>
      <c r="Q247" s="2">
        <v>45964</v>
      </c>
      <c r="R247" s="2">
        <v>48852</v>
      </c>
      <c r="S247" s="2">
        <v>48855</v>
      </c>
      <c r="T247" s="5" t="s">
        <v>422</v>
      </c>
      <c r="U247" s="2">
        <f t="shared" si="17"/>
        <v>48852</v>
      </c>
      <c r="V247" t="str">
        <f t="shared" si="18"/>
        <v>BZ</v>
      </c>
      <c r="W247" t="str">
        <f t="shared" si="16"/>
        <v>NYMEX</v>
      </c>
    </row>
    <row r="248" spans="7:23" x14ac:dyDescent="0.2">
      <c r="P248" s="1" t="s">
        <v>332</v>
      </c>
      <c r="Q248" s="2">
        <v>45964</v>
      </c>
      <c r="R248" s="2">
        <v>48883</v>
      </c>
      <c r="S248" s="2">
        <v>48884</v>
      </c>
      <c r="T248" s="5" t="s">
        <v>422</v>
      </c>
      <c r="U248" s="2">
        <f t="shared" si="17"/>
        <v>48883</v>
      </c>
      <c r="V248" t="str">
        <f t="shared" si="18"/>
        <v>BZ</v>
      </c>
      <c r="W248" t="str">
        <f t="shared" si="16"/>
        <v>NYMEX</v>
      </c>
    </row>
    <row r="249" spans="7:23" x14ac:dyDescent="0.2">
      <c r="P249" s="1" t="s">
        <v>333</v>
      </c>
      <c r="Q249" s="2">
        <v>45964</v>
      </c>
      <c r="R249" s="2">
        <v>48913</v>
      </c>
      <c r="S249" s="2">
        <v>48914</v>
      </c>
      <c r="T249" s="5" t="s">
        <v>422</v>
      </c>
      <c r="U249" s="2">
        <f t="shared" si="17"/>
        <v>48913</v>
      </c>
      <c r="V249" t="str">
        <f t="shared" si="18"/>
        <v>BZ</v>
      </c>
      <c r="W249" t="str">
        <f t="shared" si="16"/>
        <v>NYMEX</v>
      </c>
    </row>
    <row r="250" spans="7:23" x14ac:dyDescent="0.2">
      <c r="P250" s="1" t="s">
        <v>334</v>
      </c>
      <c r="Q250" s="2">
        <v>45964</v>
      </c>
      <c r="R250" s="2">
        <v>48942</v>
      </c>
      <c r="S250" s="2">
        <v>48943</v>
      </c>
      <c r="T250" s="5" t="s">
        <v>422</v>
      </c>
      <c r="U250" s="2">
        <f t="shared" si="17"/>
        <v>48942</v>
      </c>
      <c r="V250" t="str">
        <f t="shared" si="18"/>
        <v>BZ</v>
      </c>
      <c r="W250" t="str">
        <f t="shared" si="16"/>
        <v>NYMEX</v>
      </c>
    </row>
    <row r="251" spans="7:23" x14ac:dyDescent="0.2">
      <c r="P251" s="1" t="s">
        <v>335</v>
      </c>
      <c r="Q251" s="2">
        <v>45964</v>
      </c>
      <c r="R251" s="2">
        <v>48975</v>
      </c>
      <c r="S251" s="2">
        <v>48976</v>
      </c>
      <c r="T251" s="5" t="s">
        <v>422</v>
      </c>
      <c r="U251" s="2">
        <f t="shared" si="17"/>
        <v>48975</v>
      </c>
      <c r="V251" t="str">
        <f t="shared" si="18"/>
        <v>BZ</v>
      </c>
      <c r="W251" t="str">
        <f t="shared" si="16"/>
        <v>NYMEX</v>
      </c>
    </row>
    <row r="252" spans="7:23" x14ac:dyDescent="0.2">
      <c r="G252" s="10"/>
      <c r="H252" s="11"/>
      <c r="I252" s="11"/>
      <c r="J252" s="11"/>
      <c r="K252" s="10"/>
      <c r="L252" s="11"/>
      <c r="M252" s="11"/>
      <c r="N252" s="6"/>
      <c r="O252" s="6"/>
      <c r="P252" s="1" t="s">
        <v>82</v>
      </c>
      <c r="Q252" s="1" t="s">
        <v>83</v>
      </c>
      <c r="R252" s="1" t="s">
        <v>84</v>
      </c>
      <c r="S252" s="1" t="s">
        <v>85</v>
      </c>
      <c r="T252" s="1" t="s">
        <v>86</v>
      </c>
      <c r="U252" s="2">
        <f t="shared" si="17"/>
        <v>0</v>
      </c>
      <c r="V252" t="str">
        <f t="shared" si="18"/>
        <v>Product C</v>
      </c>
      <c r="W252" t="str">
        <f t="shared" si="16"/>
        <v>---</v>
      </c>
    </row>
    <row r="253" spans="7:23" x14ac:dyDescent="0.2">
      <c r="P253" s="1" t="s">
        <v>341</v>
      </c>
      <c r="Q253" s="2">
        <v>45698</v>
      </c>
      <c r="R253" s="2">
        <v>46108</v>
      </c>
      <c r="S253" s="2">
        <v>46108</v>
      </c>
      <c r="T253" s="2">
        <v>46080</v>
      </c>
      <c r="U253" s="2">
        <f t="shared" si="17"/>
        <v>46080</v>
      </c>
      <c r="V253" t="str">
        <f t="shared" si="18"/>
        <v>GC</v>
      </c>
      <c r="W253" t="str">
        <f t="shared" si="16"/>
        <v>COMEX</v>
      </c>
    </row>
    <row r="254" spans="7:23" x14ac:dyDescent="0.2">
      <c r="P254" s="1" t="s">
        <v>342</v>
      </c>
      <c r="Q254" s="2">
        <v>45443</v>
      </c>
      <c r="R254" s="2">
        <v>46140</v>
      </c>
      <c r="S254" s="2">
        <v>46140</v>
      </c>
      <c r="T254" s="2">
        <v>46112</v>
      </c>
      <c r="U254" s="2">
        <f t="shared" si="17"/>
        <v>46112</v>
      </c>
      <c r="V254" t="str">
        <f t="shared" si="18"/>
        <v>GC</v>
      </c>
      <c r="W254" t="str">
        <f t="shared" si="16"/>
        <v>COMEX</v>
      </c>
    </row>
    <row r="255" spans="7:23" x14ac:dyDescent="0.2">
      <c r="P255" s="1" t="s">
        <v>343</v>
      </c>
      <c r="Q255" s="2">
        <v>45698</v>
      </c>
      <c r="R255" s="2">
        <v>46169</v>
      </c>
      <c r="S255" s="2">
        <v>46169</v>
      </c>
      <c r="T255" s="2">
        <v>46142</v>
      </c>
      <c r="U255" s="2">
        <f t="shared" si="17"/>
        <v>46142</v>
      </c>
      <c r="V255" t="str">
        <f t="shared" si="18"/>
        <v>GC</v>
      </c>
      <c r="W255" t="str">
        <f t="shared" si="16"/>
        <v>COMEX</v>
      </c>
    </row>
    <row r="256" spans="7:23" x14ac:dyDescent="0.2">
      <c r="P256" s="1" t="s">
        <v>344</v>
      </c>
      <c r="Q256" s="2">
        <v>44012</v>
      </c>
      <c r="R256" s="2">
        <v>46199</v>
      </c>
      <c r="S256" s="2">
        <v>46199</v>
      </c>
      <c r="T256" s="2">
        <v>46171</v>
      </c>
      <c r="U256" s="2">
        <f t="shared" si="17"/>
        <v>46171</v>
      </c>
      <c r="V256" t="str">
        <f t="shared" si="18"/>
        <v>GC</v>
      </c>
      <c r="W256" t="str">
        <f t="shared" si="16"/>
        <v>COMEX</v>
      </c>
    </row>
    <row r="257" spans="16:23" x14ac:dyDescent="0.2">
      <c r="P257" s="1" t="s">
        <v>345</v>
      </c>
      <c r="Q257" s="2">
        <v>45698</v>
      </c>
      <c r="R257" s="2">
        <v>46232</v>
      </c>
      <c r="S257" s="2">
        <v>46232</v>
      </c>
      <c r="T257" s="2">
        <v>46203</v>
      </c>
      <c r="U257" s="2">
        <f t="shared" si="17"/>
        <v>46203</v>
      </c>
      <c r="V257" t="str">
        <f t="shared" si="18"/>
        <v>GC</v>
      </c>
      <c r="W257" t="str">
        <f t="shared" si="16"/>
        <v>COMEX</v>
      </c>
    </row>
    <row r="258" spans="16:23" x14ac:dyDescent="0.2">
      <c r="P258" s="1" t="s">
        <v>346</v>
      </c>
      <c r="Q258" s="2">
        <v>45565</v>
      </c>
      <c r="R258" s="2">
        <v>46261</v>
      </c>
      <c r="S258" s="2">
        <v>46261</v>
      </c>
      <c r="T258" s="2">
        <v>46234</v>
      </c>
      <c r="U258" s="2">
        <f t="shared" si="17"/>
        <v>46234</v>
      </c>
      <c r="V258" t="str">
        <f t="shared" si="18"/>
        <v>GC</v>
      </c>
      <c r="W258" t="str">
        <f t="shared" si="16"/>
        <v>COMEX</v>
      </c>
    </row>
    <row r="259" spans="16:23" x14ac:dyDescent="0.2">
      <c r="P259" s="1" t="s">
        <v>347</v>
      </c>
      <c r="Q259" s="2">
        <v>45698</v>
      </c>
      <c r="R259" s="2">
        <v>46293</v>
      </c>
      <c r="S259" s="2">
        <v>46293</v>
      </c>
      <c r="T259" s="2">
        <v>46265</v>
      </c>
      <c r="U259" s="2">
        <f t="shared" si="17"/>
        <v>46265</v>
      </c>
      <c r="V259" t="str">
        <f t="shared" si="18"/>
        <v>GC</v>
      </c>
      <c r="W259" t="str">
        <f t="shared" ref="W259:W322" si="19">IFERROR(INDEX(AC:AC, MATCH(V259,AB:AB,0)),"---")</f>
        <v>COMEX</v>
      </c>
    </row>
    <row r="260" spans="16:23" x14ac:dyDescent="0.2">
      <c r="P260" s="1" t="s">
        <v>348</v>
      </c>
      <c r="Q260" s="2">
        <v>45625</v>
      </c>
      <c r="R260" s="2">
        <v>46323</v>
      </c>
      <c r="S260" s="2">
        <v>46323</v>
      </c>
      <c r="T260" s="2">
        <v>46295</v>
      </c>
      <c r="U260" s="2">
        <f t="shared" ref="U260:U323" si="20">MIN(R260:T260)</f>
        <v>46295</v>
      </c>
      <c r="V260" t="str">
        <f t="shared" ref="V260:V323" si="21">MID(P260,1,LEN(P260)-3)</f>
        <v>GC</v>
      </c>
      <c r="W260" t="str">
        <f t="shared" si="19"/>
        <v>COMEX</v>
      </c>
    </row>
    <row r="261" spans="16:23" x14ac:dyDescent="0.2">
      <c r="P261" s="1" t="s">
        <v>349</v>
      </c>
      <c r="Q261" s="2">
        <v>45698</v>
      </c>
      <c r="R261" s="2">
        <v>46351</v>
      </c>
      <c r="S261" s="2">
        <v>46351</v>
      </c>
      <c r="T261" s="2">
        <v>46325</v>
      </c>
      <c r="U261" s="2">
        <f t="shared" si="20"/>
        <v>46325</v>
      </c>
      <c r="V261" t="str">
        <f t="shared" si="21"/>
        <v>GC</v>
      </c>
      <c r="W261" t="str">
        <f t="shared" si="19"/>
        <v>COMEX</v>
      </c>
    </row>
    <row r="262" spans="16:23" x14ac:dyDescent="0.2">
      <c r="P262" s="1" t="s">
        <v>350</v>
      </c>
      <c r="Q262" s="2">
        <v>44196</v>
      </c>
      <c r="R262" s="2">
        <v>46385</v>
      </c>
      <c r="S262" s="2">
        <v>46385</v>
      </c>
      <c r="T262" s="2">
        <v>46356</v>
      </c>
      <c r="U262" s="2">
        <f t="shared" si="20"/>
        <v>46356</v>
      </c>
      <c r="V262" t="str">
        <f t="shared" si="21"/>
        <v>GC</v>
      </c>
      <c r="W262" t="str">
        <f t="shared" si="19"/>
        <v>COMEX</v>
      </c>
    </row>
    <row r="263" spans="16:23" x14ac:dyDescent="0.2">
      <c r="P263" s="1" t="s">
        <v>351</v>
      </c>
      <c r="Q263" s="2">
        <v>45698</v>
      </c>
      <c r="R263" s="2">
        <v>46414</v>
      </c>
      <c r="S263" s="2">
        <v>46414</v>
      </c>
      <c r="T263" s="2">
        <v>46387</v>
      </c>
      <c r="U263" s="2">
        <f t="shared" si="20"/>
        <v>46387</v>
      </c>
      <c r="V263" t="str">
        <f t="shared" si="21"/>
        <v>GC</v>
      </c>
      <c r="W263" t="str">
        <f t="shared" si="19"/>
        <v>COMEX</v>
      </c>
    </row>
    <row r="264" spans="16:23" x14ac:dyDescent="0.2">
      <c r="P264" s="1" t="s">
        <v>352</v>
      </c>
      <c r="Q264" s="2">
        <v>45716</v>
      </c>
      <c r="R264" s="2">
        <v>46442</v>
      </c>
      <c r="S264" s="2">
        <v>46442</v>
      </c>
      <c r="T264" s="2">
        <v>46416</v>
      </c>
      <c r="U264" s="2">
        <f t="shared" si="20"/>
        <v>46416</v>
      </c>
      <c r="V264" t="str">
        <f t="shared" si="21"/>
        <v>GC</v>
      </c>
      <c r="W264" t="str">
        <f t="shared" si="19"/>
        <v>COMEX</v>
      </c>
    </row>
    <row r="265" spans="16:23" x14ac:dyDescent="0.2">
      <c r="P265" s="1" t="s">
        <v>353</v>
      </c>
      <c r="Q265" s="2">
        <v>45744</v>
      </c>
      <c r="R265" s="2">
        <v>46475</v>
      </c>
      <c r="S265" s="2">
        <v>46475</v>
      </c>
      <c r="T265" s="2">
        <v>46444</v>
      </c>
      <c r="U265" s="2">
        <f t="shared" si="20"/>
        <v>46444</v>
      </c>
      <c r="V265" t="str">
        <f t="shared" si="21"/>
        <v>GC</v>
      </c>
      <c r="W265" t="str">
        <f t="shared" si="19"/>
        <v>COMEX</v>
      </c>
    </row>
    <row r="266" spans="16:23" x14ac:dyDescent="0.2">
      <c r="P266" s="1" t="s">
        <v>354</v>
      </c>
      <c r="Q266" s="2">
        <v>45761</v>
      </c>
      <c r="R266" s="2">
        <v>46505</v>
      </c>
      <c r="S266" s="2">
        <v>46505</v>
      </c>
      <c r="T266" s="2">
        <v>46477</v>
      </c>
      <c r="U266" s="2">
        <f t="shared" si="20"/>
        <v>46477</v>
      </c>
      <c r="V266" t="str">
        <f t="shared" si="21"/>
        <v>GC</v>
      </c>
      <c r="W266" t="str">
        <f t="shared" si="19"/>
        <v>COMEX</v>
      </c>
    </row>
    <row r="267" spans="16:23" x14ac:dyDescent="0.2">
      <c r="P267" s="1" t="s">
        <v>355</v>
      </c>
      <c r="Q267" s="2">
        <v>45761</v>
      </c>
      <c r="R267" s="2">
        <v>46533</v>
      </c>
      <c r="S267" s="2">
        <v>46533</v>
      </c>
      <c r="T267" s="2">
        <v>46507</v>
      </c>
      <c r="U267" s="2">
        <f t="shared" si="20"/>
        <v>46507</v>
      </c>
      <c r="V267" t="str">
        <f t="shared" si="21"/>
        <v>GC</v>
      </c>
      <c r="W267" t="str">
        <f t="shared" si="19"/>
        <v>COMEX</v>
      </c>
    </row>
    <row r="268" spans="16:23" x14ac:dyDescent="0.2">
      <c r="P268" s="1" t="s">
        <v>356</v>
      </c>
      <c r="Q268" s="2">
        <v>44377</v>
      </c>
      <c r="R268" s="2">
        <v>46566</v>
      </c>
      <c r="S268" s="2">
        <v>46566</v>
      </c>
      <c r="T268" s="2">
        <v>46535</v>
      </c>
      <c r="U268" s="2">
        <f t="shared" si="20"/>
        <v>46535</v>
      </c>
      <c r="V268" t="str">
        <f t="shared" si="21"/>
        <v>GC</v>
      </c>
      <c r="W268" t="str">
        <f t="shared" si="19"/>
        <v>COMEX</v>
      </c>
    </row>
    <row r="269" spans="16:23" x14ac:dyDescent="0.2">
      <c r="P269" s="1" t="s">
        <v>357</v>
      </c>
      <c r="Q269" s="2">
        <v>45806</v>
      </c>
      <c r="R269" s="2">
        <v>46596</v>
      </c>
      <c r="S269" s="2">
        <v>46596</v>
      </c>
      <c r="T269" s="2">
        <v>46568</v>
      </c>
      <c r="U269" s="2">
        <f t="shared" si="20"/>
        <v>46568</v>
      </c>
      <c r="V269" t="str">
        <f t="shared" si="21"/>
        <v>GC</v>
      </c>
      <c r="W269" t="str">
        <f t="shared" si="19"/>
        <v>COMEX</v>
      </c>
    </row>
    <row r="270" spans="16:23" x14ac:dyDescent="0.2">
      <c r="P270" s="1" t="s">
        <v>358</v>
      </c>
      <c r="Q270" s="2">
        <v>45835</v>
      </c>
      <c r="R270" s="2">
        <v>46626</v>
      </c>
      <c r="S270" s="2">
        <v>46626</v>
      </c>
      <c r="T270" s="2">
        <v>46598</v>
      </c>
      <c r="U270" s="2">
        <f t="shared" si="20"/>
        <v>46598</v>
      </c>
      <c r="V270" t="str">
        <f t="shared" si="21"/>
        <v>GC</v>
      </c>
      <c r="W270" t="str">
        <f t="shared" si="19"/>
        <v>COMEX</v>
      </c>
    </row>
    <row r="271" spans="16:23" x14ac:dyDescent="0.2">
      <c r="P271" s="1" t="s">
        <v>359</v>
      </c>
      <c r="Q271" s="2">
        <v>45868</v>
      </c>
      <c r="R271" s="2">
        <v>46658</v>
      </c>
      <c r="S271" s="2">
        <v>46658</v>
      </c>
      <c r="T271" s="2">
        <v>46630</v>
      </c>
      <c r="U271" s="2">
        <f t="shared" si="20"/>
        <v>46630</v>
      </c>
      <c r="V271" t="str">
        <f t="shared" si="21"/>
        <v>GC</v>
      </c>
      <c r="W271" t="str">
        <f t="shared" si="19"/>
        <v>COMEX</v>
      </c>
    </row>
    <row r="272" spans="16:23" x14ac:dyDescent="0.2">
      <c r="P272" s="1" t="s">
        <v>360</v>
      </c>
      <c r="Q272" s="2">
        <v>45897</v>
      </c>
      <c r="R272" s="2">
        <v>46687</v>
      </c>
      <c r="S272" s="2">
        <v>46687</v>
      </c>
      <c r="T272" s="2">
        <v>46660</v>
      </c>
      <c r="U272" s="2">
        <f t="shared" si="20"/>
        <v>46660</v>
      </c>
      <c r="V272" t="str">
        <f t="shared" si="21"/>
        <v>GC</v>
      </c>
      <c r="W272" t="str">
        <f t="shared" si="19"/>
        <v>COMEX</v>
      </c>
    </row>
    <row r="273" spans="16:23" x14ac:dyDescent="0.2">
      <c r="P273" s="1" t="s">
        <v>361</v>
      </c>
      <c r="Q273" s="2">
        <v>45929</v>
      </c>
      <c r="R273" s="2">
        <v>46717</v>
      </c>
      <c r="S273" s="2">
        <v>46717</v>
      </c>
      <c r="T273" s="2">
        <v>46689</v>
      </c>
      <c r="U273" s="2">
        <f t="shared" si="20"/>
        <v>46689</v>
      </c>
      <c r="V273" t="str">
        <f t="shared" si="21"/>
        <v>GC</v>
      </c>
      <c r="W273" t="str">
        <f t="shared" si="19"/>
        <v>COMEX</v>
      </c>
    </row>
    <row r="274" spans="16:23" x14ac:dyDescent="0.2">
      <c r="P274" s="1" t="s">
        <v>362</v>
      </c>
      <c r="Q274" s="2">
        <v>44561</v>
      </c>
      <c r="R274" s="2">
        <v>46750</v>
      </c>
      <c r="S274" s="2">
        <v>46750</v>
      </c>
      <c r="T274" s="2">
        <v>46721</v>
      </c>
      <c r="U274" s="2">
        <f t="shared" si="20"/>
        <v>46721</v>
      </c>
      <c r="V274" t="str">
        <f t="shared" si="21"/>
        <v>GC</v>
      </c>
      <c r="W274" t="str">
        <f t="shared" si="19"/>
        <v>COMEX</v>
      </c>
    </row>
    <row r="275" spans="16:23" x14ac:dyDescent="0.2">
      <c r="P275" s="1" t="s">
        <v>363</v>
      </c>
      <c r="Q275" s="2">
        <v>45987</v>
      </c>
      <c r="R275" s="2">
        <v>46779</v>
      </c>
      <c r="S275" s="2">
        <v>46779</v>
      </c>
      <c r="T275" s="2">
        <v>46752</v>
      </c>
      <c r="U275" s="2">
        <f t="shared" si="20"/>
        <v>46752</v>
      </c>
      <c r="V275" t="str">
        <f t="shared" si="21"/>
        <v>GC</v>
      </c>
      <c r="W275" t="str">
        <f t="shared" si="19"/>
        <v>COMEX</v>
      </c>
    </row>
    <row r="276" spans="16:23" x14ac:dyDescent="0.2">
      <c r="P276" s="1" t="s">
        <v>364</v>
      </c>
      <c r="Q276" s="2">
        <v>46021</v>
      </c>
      <c r="R276" s="2">
        <v>46808</v>
      </c>
      <c r="S276" s="2">
        <v>46808</v>
      </c>
      <c r="T276" s="2">
        <v>46783</v>
      </c>
      <c r="U276" s="2">
        <f t="shared" si="20"/>
        <v>46783</v>
      </c>
      <c r="V276" t="str">
        <f t="shared" si="21"/>
        <v>GC</v>
      </c>
      <c r="W276" t="str">
        <f t="shared" si="19"/>
        <v>COMEX</v>
      </c>
    </row>
    <row r="277" spans="16:23" x14ac:dyDescent="0.2">
      <c r="P277" s="1" t="s">
        <v>365</v>
      </c>
      <c r="Q277" s="2">
        <v>46051</v>
      </c>
      <c r="R277" s="2">
        <v>46841</v>
      </c>
      <c r="S277" s="2">
        <v>46841</v>
      </c>
      <c r="T277" s="2">
        <v>46812</v>
      </c>
      <c r="U277" s="2">
        <f t="shared" si="20"/>
        <v>46812</v>
      </c>
      <c r="V277" t="str">
        <f t="shared" si="21"/>
        <v>GC</v>
      </c>
      <c r="W277" t="str">
        <f t="shared" si="19"/>
        <v>COMEX</v>
      </c>
    </row>
    <row r="278" spans="16:23" x14ac:dyDescent="0.2">
      <c r="P278" s="1" t="s">
        <v>366</v>
      </c>
      <c r="Q278" s="2">
        <v>46079</v>
      </c>
      <c r="R278" s="2">
        <v>46869</v>
      </c>
      <c r="S278" s="2">
        <v>46869</v>
      </c>
      <c r="T278" s="2">
        <v>46843</v>
      </c>
      <c r="U278" s="2">
        <f t="shared" si="20"/>
        <v>46843</v>
      </c>
      <c r="V278" t="str">
        <f t="shared" si="21"/>
        <v>GC</v>
      </c>
      <c r="W278" t="str">
        <f t="shared" si="19"/>
        <v>COMEX</v>
      </c>
    </row>
    <row r="279" spans="16:23" x14ac:dyDescent="0.2">
      <c r="P279" s="1" t="s">
        <v>367</v>
      </c>
      <c r="Q279" s="2">
        <v>46111</v>
      </c>
      <c r="R279" s="2">
        <v>46899</v>
      </c>
      <c r="S279" s="2">
        <v>46899</v>
      </c>
      <c r="T279" s="2">
        <v>46871</v>
      </c>
      <c r="U279" s="2">
        <f t="shared" si="20"/>
        <v>46871</v>
      </c>
      <c r="V279" t="str">
        <f t="shared" si="21"/>
        <v>GC</v>
      </c>
      <c r="W279" t="str">
        <f t="shared" si="19"/>
        <v>COMEX</v>
      </c>
    </row>
    <row r="280" spans="16:23" x14ac:dyDescent="0.2">
      <c r="P280" s="1" t="s">
        <v>368</v>
      </c>
      <c r="Q280" s="2">
        <v>44742</v>
      </c>
      <c r="R280" s="2">
        <v>46932</v>
      </c>
      <c r="S280" s="2">
        <v>46932</v>
      </c>
      <c r="T280" s="2">
        <v>46904</v>
      </c>
      <c r="U280" s="2">
        <f t="shared" si="20"/>
        <v>46904</v>
      </c>
      <c r="V280" t="str">
        <f t="shared" si="21"/>
        <v>GC</v>
      </c>
      <c r="W280" t="str">
        <f t="shared" si="19"/>
        <v>COMEX</v>
      </c>
    </row>
    <row r="281" spans="16:23" x14ac:dyDescent="0.2">
      <c r="P281" s="1" t="s">
        <v>369</v>
      </c>
      <c r="Q281" s="2">
        <v>44925</v>
      </c>
      <c r="R281" s="2">
        <v>47114</v>
      </c>
      <c r="S281" s="2">
        <v>47114</v>
      </c>
      <c r="T281" s="2">
        <v>47087</v>
      </c>
      <c r="U281" s="2">
        <f t="shared" si="20"/>
        <v>47087</v>
      </c>
      <c r="V281" t="str">
        <f t="shared" si="21"/>
        <v>GC</v>
      </c>
      <c r="W281" t="str">
        <f t="shared" si="19"/>
        <v>COMEX</v>
      </c>
    </row>
    <row r="282" spans="16:23" x14ac:dyDescent="0.2">
      <c r="P282" s="1" t="s">
        <v>370</v>
      </c>
      <c r="Q282" s="2">
        <v>45107</v>
      </c>
      <c r="R282" s="2">
        <v>47296</v>
      </c>
      <c r="S282" s="2">
        <v>47296</v>
      </c>
      <c r="T282" s="2">
        <v>47269</v>
      </c>
      <c r="U282" s="2">
        <f t="shared" si="20"/>
        <v>47269</v>
      </c>
      <c r="V282" t="str">
        <f t="shared" si="21"/>
        <v>GC</v>
      </c>
      <c r="W282" t="str">
        <f t="shared" si="19"/>
        <v>COMEX</v>
      </c>
    </row>
    <row r="283" spans="16:23" x14ac:dyDescent="0.2">
      <c r="P283" s="1" t="s">
        <v>371</v>
      </c>
      <c r="Q283" s="2">
        <v>45289</v>
      </c>
      <c r="R283" s="2">
        <v>47479</v>
      </c>
      <c r="S283" s="2">
        <v>47479</v>
      </c>
      <c r="T283" s="2">
        <v>47452</v>
      </c>
      <c r="U283" s="2">
        <f t="shared" si="20"/>
        <v>47452</v>
      </c>
      <c r="V283" t="str">
        <f t="shared" si="21"/>
        <v>GC</v>
      </c>
      <c r="W283" t="str">
        <f t="shared" si="19"/>
        <v>COMEX</v>
      </c>
    </row>
    <row r="284" spans="16:23" x14ac:dyDescent="0.2">
      <c r="P284" s="1" t="s">
        <v>372</v>
      </c>
      <c r="Q284" s="2">
        <v>45471</v>
      </c>
      <c r="R284" s="2">
        <v>47660</v>
      </c>
      <c r="S284" s="2">
        <v>47660</v>
      </c>
      <c r="T284" s="2">
        <v>47634</v>
      </c>
      <c r="U284" s="2">
        <f t="shared" si="20"/>
        <v>47634</v>
      </c>
      <c r="V284" t="str">
        <f t="shared" si="21"/>
        <v>GC</v>
      </c>
      <c r="W284" t="str">
        <f t="shared" si="19"/>
        <v>COMEX</v>
      </c>
    </row>
    <row r="285" spans="16:23" x14ac:dyDescent="0.2">
      <c r="P285" s="1" t="s">
        <v>373</v>
      </c>
      <c r="Q285" s="2">
        <v>45657</v>
      </c>
      <c r="R285" s="2">
        <v>47844</v>
      </c>
      <c r="S285" s="2">
        <v>47844</v>
      </c>
      <c r="T285" s="2">
        <v>47816</v>
      </c>
      <c r="U285" s="2">
        <f t="shared" si="20"/>
        <v>47816</v>
      </c>
      <c r="V285" t="str">
        <f t="shared" si="21"/>
        <v>GC</v>
      </c>
      <c r="W285" t="str">
        <f t="shared" si="19"/>
        <v>COMEX</v>
      </c>
    </row>
    <row r="286" spans="16:23" x14ac:dyDescent="0.2">
      <c r="P286" s="1" t="s">
        <v>374</v>
      </c>
      <c r="Q286" s="2">
        <v>45810</v>
      </c>
      <c r="R286" s="2">
        <v>48025</v>
      </c>
      <c r="S286" s="2">
        <v>48025</v>
      </c>
      <c r="T286" s="2">
        <v>47998</v>
      </c>
      <c r="U286" s="2">
        <f t="shared" si="20"/>
        <v>47998</v>
      </c>
      <c r="V286" t="str">
        <f t="shared" si="21"/>
        <v>GC</v>
      </c>
      <c r="W286" t="str">
        <f t="shared" si="19"/>
        <v>COMEX</v>
      </c>
    </row>
    <row r="287" spans="16:23" x14ac:dyDescent="0.2">
      <c r="P287" s="1" t="s">
        <v>375</v>
      </c>
      <c r="Q287" s="2">
        <v>45992</v>
      </c>
      <c r="R287" s="2">
        <v>48211</v>
      </c>
      <c r="S287" s="2">
        <v>48211</v>
      </c>
      <c r="T287" s="2">
        <v>48180</v>
      </c>
      <c r="U287" s="2">
        <f t="shared" si="20"/>
        <v>48180</v>
      </c>
      <c r="V287" t="str">
        <f t="shared" si="21"/>
        <v>GC</v>
      </c>
      <c r="W287" t="str">
        <f t="shared" si="19"/>
        <v>COMEX</v>
      </c>
    </row>
    <row r="288" spans="16:23" x14ac:dyDescent="0.2">
      <c r="P288" s="1" t="s">
        <v>82</v>
      </c>
      <c r="Q288" s="1" t="s">
        <v>83</v>
      </c>
      <c r="R288" s="1" t="s">
        <v>84</v>
      </c>
      <c r="S288" s="1" t="s">
        <v>85</v>
      </c>
      <c r="T288" s="1" t="s">
        <v>86</v>
      </c>
      <c r="U288" s="2">
        <f t="shared" si="20"/>
        <v>0</v>
      </c>
      <c r="V288" t="str">
        <f t="shared" si="21"/>
        <v>Product C</v>
      </c>
      <c r="W288" t="str">
        <f t="shared" si="19"/>
        <v>---</v>
      </c>
    </row>
    <row r="289" spans="16:23" x14ac:dyDescent="0.2">
      <c r="P289" s="1" t="s">
        <v>376</v>
      </c>
      <c r="Q289" s="2">
        <v>45443</v>
      </c>
      <c r="R289" s="2">
        <v>46140</v>
      </c>
      <c r="S289" s="2">
        <v>46140</v>
      </c>
      <c r="T289" s="2">
        <v>46112</v>
      </c>
      <c r="U289" s="2">
        <f t="shared" si="20"/>
        <v>46112</v>
      </c>
      <c r="V289" t="str">
        <f t="shared" si="21"/>
        <v>MGC</v>
      </c>
      <c r="W289" t="str">
        <f t="shared" si="19"/>
        <v>COMEX_MINI</v>
      </c>
    </row>
    <row r="290" spans="16:23" x14ac:dyDescent="0.2">
      <c r="P290" s="1" t="s">
        <v>377</v>
      </c>
      <c r="Q290" s="2">
        <v>45471</v>
      </c>
      <c r="R290" s="2">
        <v>46199</v>
      </c>
      <c r="S290" s="2">
        <v>46199</v>
      </c>
      <c r="T290" s="2">
        <v>46171</v>
      </c>
      <c r="U290" s="2">
        <f t="shared" si="20"/>
        <v>46171</v>
      </c>
      <c r="V290" t="str">
        <f t="shared" si="21"/>
        <v>MGC</v>
      </c>
      <c r="W290" t="str">
        <f t="shared" si="19"/>
        <v>COMEX_MINI</v>
      </c>
    </row>
    <row r="291" spans="16:23" x14ac:dyDescent="0.2">
      <c r="P291" s="1" t="s">
        <v>378</v>
      </c>
      <c r="Q291" s="2">
        <v>45565</v>
      </c>
      <c r="R291" s="2">
        <v>46261</v>
      </c>
      <c r="S291" s="2">
        <v>46261</v>
      </c>
      <c r="T291" s="2">
        <v>46234</v>
      </c>
      <c r="U291" s="2">
        <f t="shared" si="20"/>
        <v>46234</v>
      </c>
      <c r="V291" t="str">
        <f t="shared" si="21"/>
        <v>MGC</v>
      </c>
      <c r="W291" t="str">
        <f t="shared" si="19"/>
        <v>COMEX_MINI</v>
      </c>
    </row>
    <row r="292" spans="16:23" x14ac:dyDescent="0.2">
      <c r="P292" s="1" t="s">
        <v>379</v>
      </c>
      <c r="Q292" s="2">
        <v>45625</v>
      </c>
      <c r="R292" s="2">
        <v>46323</v>
      </c>
      <c r="S292" s="2">
        <v>46323</v>
      </c>
      <c r="T292" s="2">
        <v>46295</v>
      </c>
      <c r="U292" s="2">
        <f t="shared" si="20"/>
        <v>46295</v>
      </c>
      <c r="V292" t="str">
        <f t="shared" si="21"/>
        <v>MGC</v>
      </c>
      <c r="W292" t="str">
        <f t="shared" si="19"/>
        <v>COMEX_MINI</v>
      </c>
    </row>
    <row r="293" spans="16:23" x14ac:dyDescent="0.2">
      <c r="P293" s="1" t="s">
        <v>380</v>
      </c>
      <c r="Q293" s="2">
        <v>45657</v>
      </c>
      <c r="R293" s="2">
        <v>46385</v>
      </c>
      <c r="S293" s="2">
        <v>46385</v>
      </c>
      <c r="T293" s="2">
        <v>46356</v>
      </c>
      <c r="U293" s="2">
        <f t="shared" si="20"/>
        <v>46356</v>
      </c>
      <c r="V293" t="str">
        <f t="shared" si="21"/>
        <v>MGC</v>
      </c>
      <c r="W293" t="str">
        <f t="shared" si="19"/>
        <v>COMEX_MINI</v>
      </c>
    </row>
    <row r="294" spans="16:23" x14ac:dyDescent="0.2">
      <c r="P294" s="1" t="s">
        <v>381</v>
      </c>
      <c r="Q294" s="2">
        <v>45747</v>
      </c>
      <c r="R294" s="2">
        <v>46442</v>
      </c>
      <c r="S294" s="2">
        <v>46442</v>
      </c>
      <c r="T294" s="2">
        <v>46416</v>
      </c>
      <c r="U294" s="2">
        <f t="shared" si="20"/>
        <v>46416</v>
      </c>
      <c r="V294" t="str">
        <f t="shared" si="21"/>
        <v>MGC</v>
      </c>
      <c r="W294" t="str">
        <f t="shared" si="19"/>
        <v>COMEX_MINI</v>
      </c>
    </row>
    <row r="295" spans="16:23" x14ac:dyDescent="0.2">
      <c r="P295" s="1" t="s">
        <v>382</v>
      </c>
      <c r="Q295" s="2">
        <v>45807</v>
      </c>
      <c r="R295" s="2">
        <v>46505</v>
      </c>
      <c r="S295" s="2">
        <v>46505</v>
      </c>
      <c r="T295" s="2">
        <v>46477</v>
      </c>
      <c r="U295" s="2">
        <f t="shared" si="20"/>
        <v>46477</v>
      </c>
      <c r="V295" t="str">
        <f t="shared" si="21"/>
        <v>MGC</v>
      </c>
      <c r="W295" t="str">
        <f t="shared" si="19"/>
        <v>COMEX_MINI</v>
      </c>
    </row>
    <row r="296" spans="16:23" x14ac:dyDescent="0.2">
      <c r="P296" s="1" t="s">
        <v>383</v>
      </c>
      <c r="Q296" s="2">
        <v>45838</v>
      </c>
      <c r="R296" s="2">
        <v>46566</v>
      </c>
      <c r="S296" s="2">
        <v>46566</v>
      </c>
      <c r="T296" s="2">
        <v>46535</v>
      </c>
      <c r="U296" s="2">
        <f t="shared" si="20"/>
        <v>46535</v>
      </c>
      <c r="V296" t="str">
        <f t="shared" si="21"/>
        <v>MGC</v>
      </c>
      <c r="W296" t="str">
        <f t="shared" si="19"/>
        <v>COMEX_MINI</v>
      </c>
    </row>
    <row r="297" spans="16:23" x14ac:dyDescent="0.2">
      <c r="P297" s="1" t="s">
        <v>384</v>
      </c>
      <c r="Q297" s="2">
        <v>45930</v>
      </c>
      <c r="R297" s="2">
        <v>46626</v>
      </c>
      <c r="S297" s="2">
        <v>46626</v>
      </c>
      <c r="T297" s="2">
        <v>46598</v>
      </c>
      <c r="U297" s="2">
        <f t="shared" si="20"/>
        <v>46598</v>
      </c>
      <c r="V297" t="str">
        <f t="shared" si="21"/>
        <v>MGC</v>
      </c>
      <c r="W297" t="str">
        <f t="shared" si="19"/>
        <v>COMEX_MINI</v>
      </c>
    </row>
    <row r="298" spans="16:23" x14ac:dyDescent="0.2">
      <c r="P298" s="1" t="s">
        <v>385</v>
      </c>
      <c r="Q298" s="2">
        <v>45989</v>
      </c>
      <c r="R298" s="2">
        <v>46687</v>
      </c>
      <c r="S298" s="2">
        <v>46687</v>
      </c>
      <c r="T298" s="2">
        <v>46660</v>
      </c>
      <c r="U298" s="2">
        <f t="shared" si="20"/>
        <v>46660</v>
      </c>
      <c r="V298" t="str">
        <f t="shared" si="21"/>
        <v>MGC</v>
      </c>
      <c r="W298" t="str">
        <f t="shared" si="19"/>
        <v>COMEX_MINI</v>
      </c>
    </row>
    <row r="299" spans="16:23" x14ac:dyDescent="0.2">
      <c r="P299" s="1" t="s">
        <v>386</v>
      </c>
      <c r="Q299" s="2">
        <v>46022</v>
      </c>
      <c r="R299" s="2">
        <v>46750</v>
      </c>
      <c r="S299" s="2">
        <v>46750</v>
      </c>
      <c r="T299" s="2">
        <v>46721</v>
      </c>
      <c r="U299" s="2">
        <f t="shared" si="20"/>
        <v>46721</v>
      </c>
      <c r="V299" t="str">
        <f t="shared" si="21"/>
        <v>MGC</v>
      </c>
      <c r="W299" t="str">
        <f t="shared" si="19"/>
        <v>COMEX_MINI</v>
      </c>
    </row>
    <row r="300" spans="16:23" x14ac:dyDescent="0.2">
      <c r="P300" s="1" t="s">
        <v>387</v>
      </c>
      <c r="Q300" s="2">
        <v>46112</v>
      </c>
      <c r="R300" s="2">
        <v>46808</v>
      </c>
      <c r="S300" s="2">
        <v>46808</v>
      </c>
      <c r="T300" s="2">
        <v>46783</v>
      </c>
      <c r="U300" s="2">
        <f t="shared" si="20"/>
        <v>46783</v>
      </c>
      <c r="V300" t="str">
        <f t="shared" si="21"/>
        <v>MGC</v>
      </c>
      <c r="W300" t="str">
        <f t="shared" si="19"/>
        <v>COMEX_MINI</v>
      </c>
    </row>
    <row r="301" spans="16:23" x14ac:dyDescent="0.2">
      <c r="P301" s="1" t="s">
        <v>82</v>
      </c>
      <c r="Q301" s="1" t="s">
        <v>83</v>
      </c>
      <c r="R301" s="1" t="s">
        <v>84</v>
      </c>
      <c r="S301" s="1" t="s">
        <v>85</v>
      </c>
      <c r="T301" s="1" t="s">
        <v>86</v>
      </c>
      <c r="U301" s="2">
        <f t="shared" si="20"/>
        <v>0</v>
      </c>
      <c r="V301" t="str">
        <f t="shared" si="21"/>
        <v>Product C</v>
      </c>
      <c r="W301" t="str">
        <f t="shared" si="19"/>
        <v>---</v>
      </c>
    </row>
    <row r="302" spans="16:23" x14ac:dyDescent="0.2">
      <c r="P302" s="1" t="s">
        <v>388</v>
      </c>
      <c r="Q302" s="2">
        <v>45412</v>
      </c>
      <c r="R302" s="2">
        <v>46108</v>
      </c>
      <c r="S302" s="2">
        <v>46108</v>
      </c>
      <c r="T302" s="2">
        <v>46080</v>
      </c>
      <c r="U302" s="2">
        <f t="shared" si="20"/>
        <v>46080</v>
      </c>
      <c r="V302" t="str">
        <f t="shared" si="21"/>
        <v>SI</v>
      </c>
      <c r="W302" t="str">
        <f t="shared" si="19"/>
        <v>COMEX</v>
      </c>
    </row>
    <row r="303" spans="16:23" x14ac:dyDescent="0.2">
      <c r="P303" s="1" t="s">
        <v>389</v>
      </c>
      <c r="Q303" s="2">
        <v>45698</v>
      </c>
      <c r="R303" s="2">
        <v>46140</v>
      </c>
      <c r="S303" s="2">
        <v>46140</v>
      </c>
      <c r="T303" s="2">
        <v>46112</v>
      </c>
      <c r="U303" s="2">
        <f t="shared" si="20"/>
        <v>46112</v>
      </c>
      <c r="V303" t="str">
        <f t="shared" si="21"/>
        <v>SI</v>
      </c>
      <c r="W303" t="str">
        <f t="shared" si="19"/>
        <v>COMEX</v>
      </c>
    </row>
    <row r="304" spans="16:23" x14ac:dyDescent="0.2">
      <c r="P304" s="1" t="s">
        <v>390</v>
      </c>
      <c r="Q304" s="2">
        <v>45471</v>
      </c>
      <c r="R304" s="2">
        <v>46169</v>
      </c>
      <c r="S304" s="2">
        <v>46169</v>
      </c>
      <c r="T304" s="2">
        <v>46142</v>
      </c>
      <c r="U304" s="2">
        <f t="shared" si="20"/>
        <v>46142</v>
      </c>
      <c r="V304" t="str">
        <f t="shared" si="21"/>
        <v>SI</v>
      </c>
      <c r="W304" t="str">
        <f t="shared" si="19"/>
        <v>COMEX</v>
      </c>
    </row>
    <row r="305" spans="16:23" x14ac:dyDescent="0.2">
      <c r="P305" s="1" t="s">
        <v>391</v>
      </c>
      <c r="Q305" s="2">
        <v>45698</v>
      </c>
      <c r="R305" s="2">
        <v>46199</v>
      </c>
      <c r="S305" s="2">
        <v>46199</v>
      </c>
      <c r="T305" s="2">
        <v>46171</v>
      </c>
      <c r="U305" s="2">
        <f t="shared" si="20"/>
        <v>46171</v>
      </c>
      <c r="V305" t="str">
        <f t="shared" si="21"/>
        <v>SI</v>
      </c>
      <c r="W305" t="str">
        <f t="shared" si="19"/>
        <v>COMEX</v>
      </c>
    </row>
    <row r="306" spans="16:23" x14ac:dyDescent="0.2">
      <c r="P306" s="1" t="s">
        <v>392</v>
      </c>
      <c r="Q306" s="2">
        <v>44407</v>
      </c>
      <c r="R306" s="2">
        <v>46232</v>
      </c>
      <c r="S306" s="2">
        <v>46232</v>
      </c>
      <c r="T306" s="2">
        <v>46203</v>
      </c>
      <c r="U306" s="2">
        <f t="shared" si="20"/>
        <v>46203</v>
      </c>
      <c r="V306" t="str">
        <f t="shared" si="21"/>
        <v>SI</v>
      </c>
      <c r="W306" t="str">
        <f t="shared" si="19"/>
        <v>COMEX</v>
      </c>
    </row>
    <row r="307" spans="16:23" x14ac:dyDescent="0.2">
      <c r="P307" s="1" t="s">
        <v>393</v>
      </c>
      <c r="Q307" s="2">
        <v>45698</v>
      </c>
      <c r="R307" s="2">
        <v>46261</v>
      </c>
      <c r="S307" s="2">
        <v>46261</v>
      </c>
      <c r="T307" s="2">
        <v>46234</v>
      </c>
      <c r="U307" s="2">
        <f t="shared" si="20"/>
        <v>46234</v>
      </c>
      <c r="V307" t="str">
        <f t="shared" si="21"/>
        <v>SI</v>
      </c>
      <c r="W307" t="str">
        <f t="shared" si="19"/>
        <v>COMEX</v>
      </c>
    </row>
    <row r="308" spans="16:23" x14ac:dyDescent="0.2">
      <c r="P308" s="1" t="s">
        <v>394</v>
      </c>
      <c r="Q308" s="2">
        <v>45596</v>
      </c>
      <c r="R308" s="2">
        <v>46293</v>
      </c>
      <c r="S308" s="2">
        <v>46293</v>
      </c>
      <c r="T308" s="2">
        <v>46265</v>
      </c>
      <c r="U308" s="2">
        <f t="shared" si="20"/>
        <v>46265</v>
      </c>
      <c r="V308" t="str">
        <f t="shared" si="21"/>
        <v>SI</v>
      </c>
      <c r="W308" t="str">
        <f t="shared" si="19"/>
        <v>COMEX</v>
      </c>
    </row>
    <row r="309" spans="16:23" x14ac:dyDescent="0.2">
      <c r="P309" s="1" t="s">
        <v>395</v>
      </c>
      <c r="Q309" s="2">
        <v>45698</v>
      </c>
      <c r="R309" s="2">
        <v>46323</v>
      </c>
      <c r="S309" s="2">
        <v>46323</v>
      </c>
      <c r="T309" s="2">
        <v>46295</v>
      </c>
      <c r="U309" s="2">
        <f t="shared" si="20"/>
        <v>46295</v>
      </c>
      <c r="V309" t="str">
        <f t="shared" si="21"/>
        <v>SI</v>
      </c>
      <c r="W309" t="str">
        <f t="shared" si="19"/>
        <v>COMEX</v>
      </c>
    </row>
    <row r="310" spans="16:23" x14ac:dyDescent="0.2">
      <c r="P310" s="1" t="s">
        <v>396</v>
      </c>
      <c r="Q310" s="2">
        <v>45698</v>
      </c>
      <c r="R310" s="2">
        <v>46351</v>
      </c>
      <c r="S310" s="2">
        <v>46351</v>
      </c>
      <c r="T310" s="2">
        <v>46325</v>
      </c>
      <c r="U310" s="2">
        <f t="shared" si="20"/>
        <v>46325</v>
      </c>
      <c r="V310" t="str">
        <f t="shared" si="21"/>
        <v>SI</v>
      </c>
      <c r="W310" t="str">
        <f t="shared" si="19"/>
        <v>COMEX</v>
      </c>
    </row>
    <row r="311" spans="16:23" x14ac:dyDescent="0.2">
      <c r="P311" s="1" t="s">
        <v>397</v>
      </c>
      <c r="Q311" s="2">
        <v>44561</v>
      </c>
      <c r="R311" s="2">
        <v>46385</v>
      </c>
      <c r="S311" s="2">
        <v>46385</v>
      </c>
      <c r="T311" s="2">
        <v>46356</v>
      </c>
      <c r="U311" s="2">
        <f t="shared" si="20"/>
        <v>46356</v>
      </c>
      <c r="V311" t="str">
        <f t="shared" si="21"/>
        <v>SI</v>
      </c>
      <c r="W311" t="str">
        <f t="shared" si="19"/>
        <v>COMEX</v>
      </c>
    </row>
    <row r="312" spans="16:23" x14ac:dyDescent="0.2">
      <c r="P312" s="1" t="s">
        <v>398</v>
      </c>
      <c r="Q312" s="2">
        <v>45698</v>
      </c>
      <c r="R312" s="2">
        <v>46414</v>
      </c>
      <c r="S312" s="2">
        <v>46414</v>
      </c>
      <c r="T312" s="2">
        <v>46387</v>
      </c>
      <c r="U312" s="2">
        <f t="shared" si="20"/>
        <v>46387</v>
      </c>
      <c r="V312" t="str">
        <f t="shared" si="21"/>
        <v>SI</v>
      </c>
      <c r="W312" t="str">
        <f t="shared" si="19"/>
        <v>COMEX</v>
      </c>
    </row>
    <row r="313" spans="16:23" x14ac:dyDescent="0.2">
      <c r="P313" s="1" t="s">
        <v>399</v>
      </c>
      <c r="Q313" s="2">
        <v>45715</v>
      </c>
      <c r="R313" s="2">
        <v>46442</v>
      </c>
      <c r="S313" s="2">
        <v>46442</v>
      </c>
      <c r="T313" s="2">
        <v>46416</v>
      </c>
      <c r="U313" s="2">
        <f t="shared" si="20"/>
        <v>46416</v>
      </c>
      <c r="V313" t="str">
        <f t="shared" si="21"/>
        <v>SI</v>
      </c>
      <c r="W313" t="str">
        <f t="shared" si="19"/>
        <v>COMEX</v>
      </c>
    </row>
    <row r="314" spans="16:23" x14ac:dyDescent="0.2">
      <c r="P314" s="1" t="s">
        <v>400</v>
      </c>
      <c r="Q314" s="2">
        <v>45744</v>
      </c>
      <c r="R314" s="2">
        <v>46475</v>
      </c>
      <c r="S314" s="2">
        <v>46475</v>
      </c>
      <c r="T314" s="2">
        <v>46444</v>
      </c>
      <c r="U314" s="2">
        <f t="shared" si="20"/>
        <v>46444</v>
      </c>
      <c r="V314" t="str">
        <f t="shared" si="21"/>
        <v>SI</v>
      </c>
      <c r="W314" t="str">
        <f t="shared" si="19"/>
        <v>COMEX</v>
      </c>
    </row>
    <row r="315" spans="16:23" x14ac:dyDescent="0.2">
      <c r="P315" s="1" t="s">
        <v>401</v>
      </c>
      <c r="Q315" s="2">
        <v>45761</v>
      </c>
      <c r="R315" s="2">
        <v>46505</v>
      </c>
      <c r="S315" s="2">
        <v>46505</v>
      </c>
      <c r="T315" s="2">
        <v>46477</v>
      </c>
      <c r="U315" s="2">
        <f t="shared" si="20"/>
        <v>46477</v>
      </c>
      <c r="V315" t="str">
        <f t="shared" si="21"/>
        <v>SI</v>
      </c>
      <c r="W315" t="str">
        <f t="shared" si="19"/>
        <v>COMEX</v>
      </c>
    </row>
    <row r="316" spans="16:23" x14ac:dyDescent="0.2">
      <c r="P316" s="1" t="s">
        <v>402</v>
      </c>
      <c r="Q316" s="2">
        <v>45761</v>
      </c>
      <c r="R316" s="2">
        <v>46533</v>
      </c>
      <c r="S316" s="2">
        <v>46533</v>
      </c>
      <c r="T316" s="2">
        <v>46507</v>
      </c>
      <c r="U316" s="2">
        <f t="shared" si="20"/>
        <v>46507</v>
      </c>
      <c r="V316" t="str">
        <f t="shared" si="21"/>
        <v>SI</v>
      </c>
      <c r="W316" t="str">
        <f t="shared" si="19"/>
        <v>COMEX</v>
      </c>
    </row>
    <row r="317" spans="16:23" x14ac:dyDescent="0.2">
      <c r="P317" s="1" t="s">
        <v>403</v>
      </c>
      <c r="Q317" s="2">
        <v>45776</v>
      </c>
      <c r="R317" s="2">
        <v>46566</v>
      </c>
      <c r="S317" s="2">
        <v>46566</v>
      </c>
      <c r="T317" s="2">
        <v>46535</v>
      </c>
      <c r="U317" s="2">
        <f t="shared" si="20"/>
        <v>46535</v>
      </c>
      <c r="V317" t="str">
        <f t="shared" si="21"/>
        <v>SI</v>
      </c>
      <c r="W317" t="str">
        <f t="shared" si="19"/>
        <v>COMEX</v>
      </c>
    </row>
    <row r="318" spans="16:23" x14ac:dyDescent="0.2">
      <c r="P318" s="1" t="s">
        <v>404</v>
      </c>
      <c r="Q318" s="2">
        <v>44771</v>
      </c>
      <c r="R318" s="2">
        <v>46596</v>
      </c>
      <c r="S318" s="2">
        <v>46596</v>
      </c>
      <c r="T318" s="2">
        <v>46568</v>
      </c>
      <c r="U318" s="2">
        <f t="shared" si="20"/>
        <v>46568</v>
      </c>
      <c r="V318" t="str">
        <f t="shared" si="21"/>
        <v>SI</v>
      </c>
      <c r="W318" t="str">
        <f t="shared" si="19"/>
        <v>COMEX</v>
      </c>
    </row>
    <row r="319" spans="16:23" x14ac:dyDescent="0.2">
      <c r="P319" s="1" t="s">
        <v>405</v>
      </c>
      <c r="Q319" s="2">
        <v>45835</v>
      </c>
      <c r="R319" s="2">
        <v>46626</v>
      </c>
      <c r="S319" s="2">
        <v>46626</v>
      </c>
      <c r="T319" s="2">
        <v>46598</v>
      </c>
      <c r="U319" s="2">
        <f t="shared" si="20"/>
        <v>46598</v>
      </c>
      <c r="V319" t="str">
        <f t="shared" si="21"/>
        <v>SI</v>
      </c>
      <c r="W319" t="str">
        <f t="shared" si="19"/>
        <v>COMEX</v>
      </c>
    </row>
    <row r="320" spans="16:23" x14ac:dyDescent="0.2">
      <c r="P320" s="1" t="s">
        <v>406</v>
      </c>
      <c r="Q320" s="2">
        <v>45868</v>
      </c>
      <c r="R320" s="2">
        <v>46658</v>
      </c>
      <c r="S320" s="2">
        <v>46658</v>
      </c>
      <c r="T320" s="2">
        <v>46630</v>
      </c>
      <c r="U320" s="2">
        <f t="shared" si="20"/>
        <v>46630</v>
      </c>
      <c r="V320" t="str">
        <f t="shared" si="21"/>
        <v>SI</v>
      </c>
      <c r="W320" t="str">
        <f t="shared" si="19"/>
        <v>COMEX</v>
      </c>
    </row>
    <row r="321" spans="16:23" x14ac:dyDescent="0.2">
      <c r="P321" s="1" t="s">
        <v>407</v>
      </c>
      <c r="Q321" s="2">
        <v>45897</v>
      </c>
      <c r="R321" s="2">
        <v>46687</v>
      </c>
      <c r="S321" s="2">
        <v>46687</v>
      </c>
      <c r="T321" s="2">
        <v>46660</v>
      </c>
      <c r="U321" s="2">
        <f t="shared" si="20"/>
        <v>46660</v>
      </c>
      <c r="V321" t="str">
        <f t="shared" si="21"/>
        <v>SI</v>
      </c>
      <c r="W321" t="str">
        <f t="shared" si="19"/>
        <v>COMEX</v>
      </c>
    </row>
    <row r="322" spans="16:23" x14ac:dyDescent="0.2">
      <c r="P322" s="1" t="s">
        <v>408</v>
      </c>
      <c r="Q322" s="2">
        <v>45929</v>
      </c>
      <c r="R322" s="2">
        <v>46717</v>
      </c>
      <c r="S322" s="2">
        <v>46717</v>
      </c>
      <c r="T322" s="2">
        <v>46689</v>
      </c>
      <c r="U322" s="2">
        <f t="shared" si="20"/>
        <v>46689</v>
      </c>
      <c r="V322" t="str">
        <f t="shared" si="21"/>
        <v>SI</v>
      </c>
      <c r="W322" t="str">
        <f t="shared" si="19"/>
        <v>COMEX</v>
      </c>
    </row>
    <row r="323" spans="16:23" x14ac:dyDescent="0.2">
      <c r="P323" s="1" t="s">
        <v>409</v>
      </c>
      <c r="Q323" s="2">
        <v>44925</v>
      </c>
      <c r="R323" s="2">
        <v>46750</v>
      </c>
      <c r="S323" s="2">
        <v>46750</v>
      </c>
      <c r="T323" s="2">
        <v>46721</v>
      </c>
      <c r="U323" s="2">
        <f t="shared" si="20"/>
        <v>46721</v>
      </c>
      <c r="V323" t="str">
        <f t="shared" si="21"/>
        <v>SI</v>
      </c>
      <c r="W323" t="str">
        <f t="shared" ref="W323:W386" si="22">IFERROR(INDEX(AC:AC, MATCH(V323,AB:AB,0)),"---")</f>
        <v>COMEX</v>
      </c>
    </row>
    <row r="324" spans="16:23" x14ac:dyDescent="0.2">
      <c r="P324" s="1" t="s">
        <v>410</v>
      </c>
      <c r="Q324" s="2">
        <v>45987</v>
      </c>
      <c r="R324" s="2">
        <v>46779</v>
      </c>
      <c r="S324" s="2">
        <v>46779</v>
      </c>
      <c r="T324" s="2">
        <v>46752</v>
      </c>
      <c r="U324" s="2">
        <f t="shared" ref="U324:U387" si="23">MIN(R324:T324)</f>
        <v>46752</v>
      </c>
      <c r="V324" t="str">
        <f t="shared" ref="V324:V334" si="24">MID(P324,1,LEN(P324)-3)</f>
        <v>SI</v>
      </c>
      <c r="W324" t="str">
        <f t="shared" si="22"/>
        <v>COMEX</v>
      </c>
    </row>
    <row r="325" spans="16:23" x14ac:dyDescent="0.2">
      <c r="P325" s="1" t="s">
        <v>411</v>
      </c>
      <c r="Q325" s="2">
        <v>46021</v>
      </c>
      <c r="R325" s="2">
        <v>46808</v>
      </c>
      <c r="S325" s="2">
        <v>46808</v>
      </c>
      <c r="T325" s="2">
        <v>46783</v>
      </c>
      <c r="U325" s="2">
        <f t="shared" si="23"/>
        <v>46783</v>
      </c>
      <c r="V325" t="str">
        <f t="shared" si="24"/>
        <v>SI</v>
      </c>
      <c r="W325" t="str">
        <f t="shared" si="22"/>
        <v>COMEX</v>
      </c>
    </row>
    <row r="326" spans="16:23" x14ac:dyDescent="0.2">
      <c r="P326" s="1" t="s">
        <v>412</v>
      </c>
      <c r="Q326" s="2">
        <v>46051</v>
      </c>
      <c r="R326" s="2">
        <v>46841</v>
      </c>
      <c r="S326" s="2">
        <v>46841</v>
      </c>
      <c r="T326" s="2">
        <v>46812</v>
      </c>
      <c r="U326" s="2">
        <f t="shared" si="23"/>
        <v>46812</v>
      </c>
      <c r="V326" t="str">
        <f t="shared" si="24"/>
        <v>SI</v>
      </c>
      <c r="W326" t="str">
        <f t="shared" si="22"/>
        <v>COMEX</v>
      </c>
    </row>
    <row r="327" spans="16:23" x14ac:dyDescent="0.2">
      <c r="P327" s="1" t="s">
        <v>413</v>
      </c>
      <c r="Q327" s="2">
        <v>46079</v>
      </c>
      <c r="R327" s="2">
        <v>46869</v>
      </c>
      <c r="S327" s="2">
        <v>46869</v>
      </c>
      <c r="T327" s="2">
        <v>46843</v>
      </c>
      <c r="U327" s="2">
        <f t="shared" si="23"/>
        <v>46843</v>
      </c>
      <c r="V327" t="str">
        <f t="shared" si="24"/>
        <v>SI</v>
      </c>
      <c r="W327" t="str">
        <f t="shared" si="22"/>
        <v>COMEX</v>
      </c>
    </row>
    <row r="328" spans="16:23" x14ac:dyDescent="0.2">
      <c r="P328" s="1" t="s">
        <v>414</v>
      </c>
      <c r="Q328" s="2">
        <v>46111</v>
      </c>
      <c r="R328" s="2">
        <v>46899</v>
      </c>
      <c r="S328" s="2">
        <v>46899</v>
      </c>
      <c r="T328" s="2">
        <v>46871</v>
      </c>
      <c r="U328" s="2">
        <f t="shared" si="23"/>
        <v>46871</v>
      </c>
      <c r="V328" t="str">
        <f t="shared" si="24"/>
        <v>SI</v>
      </c>
      <c r="W328" t="str">
        <f t="shared" si="22"/>
        <v>COMEX</v>
      </c>
    </row>
    <row r="329" spans="16:23" x14ac:dyDescent="0.2">
      <c r="P329" s="1" t="s">
        <v>415</v>
      </c>
      <c r="Q329" s="2">
        <v>45138</v>
      </c>
      <c r="R329" s="2">
        <v>46961</v>
      </c>
      <c r="S329" s="2">
        <v>46961</v>
      </c>
      <c r="T329" s="2">
        <v>46934</v>
      </c>
      <c r="U329" s="2">
        <f t="shared" si="23"/>
        <v>46934</v>
      </c>
      <c r="V329" t="str">
        <f t="shared" si="24"/>
        <v>SI</v>
      </c>
      <c r="W329" t="str">
        <f t="shared" si="22"/>
        <v>COMEX</v>
      </c>
    </row>
    <row r="330" spans="16:23" x14ac:dyDescent="0.2">
      <c r="P330" s="1" t="s">
        <v>416</v>
      </c>
      <c r="Q330" s="2">
        <v>45289</v>
      </c>
      <c r="R330" s="2">
        <v>47114</v>
      </c>
      <c r="S330" s="2">
        <v>47114</v>
      </c>
      <c r="T330" s="2">
        <v>47087</v>
      </c>
      <c r="U330" s="2">
        <f t="shared" si="23"/>
        <v>47087</v>
      </c>
      <c r="V330" t="str">
        <f t="shared" si="24"/>
        <v>SI</v>
      </c>
      <c r="W330" t="str">
        <f t="shared" si="22"/>
        <v>COMEX</v>
      </c>
    </row>
    <row r="331" spans="16:23" x14ac:dyDescent="0.2">
      <c r="P331" s="1" t="s">
        <v>417</v>
      </c>
      <c r="Q331" s="2">
        <v>45504</v>
      </c>
      <c r="R331" s="2">
        <v>47326</v>
      </c>
      <c r="S331" s="2">
        <v>47326</v>
      </c>
      <c r="T331" s="2">
        <v>47298</v>
      </c>
      <c r="U331" s="2">
        <f t="shared" si="23"/>
        <v>47298</v>
      </c>
      <c r="V331" t="str">
        <f t="shared" si="24"/>
        <v>SI</v>
      </c>
      <c r="W331" t="str">
        <f t="shared" si="22"/>
        <v>COMEX</v>
      </c>
    </row>
    <row r="332" spans="16:23" x14ac:dyDescent="0.2">
      <c r="P332" s="1" t="s">
        <v>418</v>
      </c>
      <c r="Q332" s="2">
        <v>45657</v>
      </c>
      <c r="R332" s="2">
        <v>47479</v>
      </c>
      <c r="S332" s="2">
        <v>47479</v>
      </c>
      <c r="T332" s="2">
        <v>47452</v>
      </c>
      <c r="U332" s="2">
        <f t="shared" si="23"/>
        <v>47452</v>
      </c>
      <c r="V332" t="str">
        <f t="shared" si="24"/>
        <v>SI</v>
      </c>
      <c r="W332" t="str">
        <f t="shared" si="22"/>
        <v>COMEX</v>
      </c>
    </row>
    <row r="333" spans="16:23" x14ac:dyDescent="0.2">
      <c r="P333" s="1" t="s">
        <v>419</v>
      </c>
      <c r="Q333" s="2">
        <v>45868</v>
      </c>
      <c r="R333" s="2">
        <v>47693</v>
      </c>
      <c r="S333" s="2">
        <v>47693</v>
      </c>
      <c r="T333" s="2">
        <v>47662</v>
      </c>
      <c r="U333" s="2">
        <f t="shared" si="23"/>
        <v>47662</v>
      </c>
      <c r="V333" t="str">
        <f t="shared" si="24"/>
        <v>SI</v>
      </c>
      <c r="W333" t="str">
        <f t="shared" si="22"/>
        <v>COMEX</v>
      </c>
    </row>
    <row r="334" spans="16:23" x14ac:dyDescent="0.2">
      <c r="P334" s="1" t="s">
        <v>420</v>
      </c>
      <c r="Q334" s="2">
        <v>46021</v>
      </c>
      <c r="R334" s="2">
        <v>47844</v>
      </c>
      <c r="S334" s="2">
        <v>47844</v>
      </c>
      <c r="T334" s="2">
        <v>47816</v>
      </c>
      <c r="U334" s="2">
        <f t="shared" si="23"/>
        <v>47816</v>
      </c>
      <c r="V334" t="str">
        <f t="shared" si="24"/>
        <v>SI</v>
      </c>
      <c r="W334" t="str">
        <f t="shared" si="22"/>
        <v>COMEX</v>
      </c>
    </row>
    <row r="335" spans="16:23" x14ac:dyDescent="0.2">
      <c r="P335" s="1" t="s">
        <v>82</v>
      </c>
      <c r="Q335" s="1" t="s">
        <v>83</v>
      </c>
      <c r="R335" s="1" t="s">
        <v>84</v>
      </c>
      <c r="S335" s="1" t="s">
        <v>85</v>
      </c>
      <c r="T335" s="1" t="s">
        <v>86</v>
      </c>
      <c r="U335" s="2">
        <f t="shared" si="23"/>
        <v>0</v>
      </c>
      <c r="V335" t="str">
        <f t="shared" ref="V335:V398" si="25">MID(P335,1,LEN(P335)-3)</f>
        <v>Product C</v>
      </c>
      <c r="W335" t="str">
        <f t="shared" si="22"/>
        <v>---</v>
      </c>
    </row>
    <row r="336" spans="16:23" x14ac:dyDescent="0.2">
      <c r="P336" s="1" t="s">
        <v>423</v>
      </c>
      <c r="Q336" s="2">
        <v>45747</v>
      </c>
      <c r="R336" s="2">
        <v>46108</v>
      </c>
      <c r="S336" s="2">
        <v>46108</v>
      </c>
      <c r="T336" s="2">
        <v>46080</v>
      </c>
      <c r="U336" s="2">
        <f t="shared" si="23"/>
        <v>46080</v>
      </c>
      <c r="V336" t="str">
        <f t="shared" si="25"/>
        <v>SIL</v>
      </c>
      <c r="W336" t="str">
        <f t="shared" si="22"/>
        <v>COMEX_MINI</v>
      </c>
    </row>
    <row r="337" spans="16:23" x14ac:dyDescent="0.2">
      <c r="P337" s="1" t="s">
        <v>424</v>
      </c>
      <c r="Q337" s="2">
        <v>46052</v>
      </c>
      <c r="R337" s="2">
        <v>46140</v>
      </c>
      <c r="S337" s="2">
        <v>46140</v>
      </c>
      <c r="T337" s="2">
        <v>46112</v>
      </c>
      <c r="U337" s="2">
        <f t="shared" si="23"/>
        <v>46112</v>
      </c>
      <c r="V337" t="str">
        <f t="shared" si="25"/>
        <v>SIL</v>
      </c>
      <c r="W337" t="str">
        <f t="shared" si="22"/>
        <v>COMEX_MINI</v>
      </c>
    </row>
    <row r="338" spans="16:23" x14ac:dyDescent="0.2">
      <c r="P338" s="1" t="s">
        <v>425</v>
      </c>
      <c r="Q338" s="2">
        <v>45807</v>
      </c>
      <c r="R338" s="2">
        <v>46169</v>
      </c>
      <c r="S338" s="2">
        <v>46169</v>
      </c>
      <c r="T338" s="2">
        <v>46142</v>
      </c>
      <c r="U338" s="2">
        <f t="shared" si="23"/>
        <v>46142</v>
      </c>
      <c r="V338" t="str">
        <f t="shared" si="25"/>
        <v>SIL</v>
      </c>
      <c r="W338" t="str">
        <f t="shared" si="22"/>
        <v>COMEX_MINI</v>
      </c>
    </row>
    <row r="339" spans="16:23" x14ac:dyDescent="0.2">
      <c r="P339" s="1" t="s">
        <v>426</v>
      </c>
      <c r="Q339" s="2">
        <v>46112</v>
      </c>
      <c r="R339" s="2">
        <v>46199</v>
      </c>
      <c r="S339" s="2">
        <v>46199</v>
      </c>
      <c r="T339" s="2">
        <v>46171</v>
      </c>
      <c r="U339" s="2">
        <f t="shared" si="23"/>
        <v>46171</v>
      </c>
      <c r="V339" t="str">
        <f t="shared" si="25"/>
        <v>SIL</v>
      </c>
      <c r="W339" t="str">
        <f t="shared" si="22"/>
        <v>COMEX_MINI</v>
      </c>
    </row>
    <row r="340" spans="16:23" x14ac:dyDescent="0.2">
      <c r="P340" s="1" t="s">
        <v>427</v>
      </c>
      <c r="Q340" s="2">
        <v>45869</v>
      </c>
      <c r="R340" s="2">
        <v>46232</v>
      </c>
      <c r="S340" s="2">
        <v>46232</v>
      </c>
      <c r="T340" s="2">
        <v>46203</v>
      </c>
      <c r="U340" s="2">
        <f t="shared" si="23"/>
        <v>46203</v>
      </c>
      <c r="V340" t="str">
        <f t="shared" si="25"/>
        <v>SIL</v>
      </c>
      <c r="W340" t="str">
        <f t="shared" si="22"/>
        <v>COMEX_MINI</v>
      </c>
    </row>
    <row r="341" spans="16:23" x14ac:dyDescent="0.2">
      <c r="P341" s="1" t="s">
        <v>428</v>
      </c>
      <c r="Q341" s="2">
        <v>45930</v>
      </c>
      <c r="R341" s="2">
        <v>46293</v>
      </c>
      <c r="S341" s="2">
        <v>46293</v>
      </c>
      <c r="T341" s="2">
        <v>46265</v>
      </c>
      <c r="U341" s="2">
        <f t="shared" si="23"/>
        <v>46265</v>
      </c>
      <c r="V341" t="str">
        <f t="shared" si="25"/>
        <v>SIL</v>
      </c>
      <c r="W341" t="str">
        <f t="shared" si="22"/>
        <v>COMEX_MINI</v>
      </c>
    </row>
    <row r="342" spans="16:23" x14ac:dyDescent="0.2">
      <c r="P342" s="1" t="s">
        <v>429</v>
      </c>
      <c r="Q342" s="2">
        <v>46022</v>
      </c>
      <c r="R342" s="2">
        <v>46385</v>
      </c>
      <c r="S342" s="2">
        <v>46385</v>
      </c>
      <c r="T342" s="2">
        <v>46356</v>
      </c>
      <c r="U342" s="2">
        <f t="shared" si="23"/>
        <v>46356</v>
      </c>
      <c r="V342" t="str">
        <f t="shared" si="25"/>
        <v>SIL</v>
      </c>
      <c r="W342" t="str">
        <f t="shared" si="22"/>
        <v>COMEX_MINI</v>
      </c>
    </row>
    <row r="343" spans="16:23" x14ac:dyDescent="0.2">
      <c r="P343" s="1" t="s">
        <v>430</v>
      </c>
      <c r="Q343" s="2">
        <v>46052</v>
      </c>
      <c r="R343" s="2">
        <v>46414</v>
      </c>
      <c r="S343" s="2">
        <v>46414</v>
      </c>
      <c r="T343" s="2">
        <v>46387</v>
      </c>
      <c r="U343" s="2">
        <f t="shared" si="23"/>
        <v>46387</v>
      </c>
      <c r="V343" t="str">
        <f t="shared" si="25"/>
        <v>SIL</v>
      </c>
      <c r="W343" t="str">
        <f t="shared" si="22"/>
        <v>COMEX_MINI</v>
      </c>
    </row>
    <row r="344" spans="16:23" x14ac:dyDescent="0.2">
      <c r="P344" s="1" t="s">
        <v>431</v>
      </c>
      <c r="Q344" s="2">
        <v>46112</v>
      </c>
      <c r="R344" s="2">
        <v>46475</v>
      </c>
      <c r="S344" s="2">
        <v>46475</v>
      </c>
      <c r="T344" s="2">
        <v>46444</v>
      </c>
      <c r="U344" s="2">
        <f t="shared" si="23"/>
        <v>46444</v>
      </c>
      <c r="V344" t="str">
        <f t="shared" si="25"/>
        <v>SIL</v>
      </c>
      <c r="W344" t="str">
        <f t="shared" si="22"/>
        <v>COMEX_MINI</v>
      </c>
    </row>
    <row r="345" spans="16:23" x14ac:dyDescent="0.2">
      <c r="P345" s="1" t="s">
        <v>82</v>
      </c>
      <c r="Q345" s="1" t="s">
        <v>83</v>
      </c>
      <c r="R345" s="1" t="s">
        <v>84</v>
      </c>
      <c r="S345" s="1" t="s">
        <v>85</v>
      </c>
      <c r="T345" s="7" t="s">
        <v>422</v>
      </c>
      <c r="U345" s="2">
        <f t="shared" si="23"/>
        <v>0</v>
      </c>
      <c r="V345" t="str">
        <f t="shared" si="25"/>
        <v>Product C</v>
      </c>
      <c r="W345" t="str">
        <f t="shared" si="22"/>
        <v>---</v>
      </c>
    </row>
    <row r="346" spans="16:23" x14ac:dyDescent="0.2">
      <c r="P346" s="1" t="s">
        <v>432</v>
      </c>
      <c r="Q346" s="2">
        <v>45565</v>
      </c>
      <c r="R346" s="2">
        <v>46108</v>
      </c>
      <c r="S346" s="2">
        <v>46108</v>
      </c>
      <c r="T346" s="7" t="s">
        <v>422</v>
      </c>
      <c r="U346" s="2">
        <f t="shared" si="23"/>
        <v>46108</v>
      </c>
      <c r="V346" t="str">
        <f t="shared" si="25"/>
        <v>MBT</v>
      </c>
      <c r="W346" t="str">
        <f t="shared" si="22"/>
        <v>CME</v>
      </c>
    </row>
    <row r="347" spans="16:23" x14ac:dyDescent="0.2">
      <c r="P347" s="1" t="s">
        <v>433</v>
      </c>
      <c r="Q347" s="2">
        <v>45964</v>
      </c>
      <c r="R347" s="2">
        <v>46136</v>
      </c>
      <c r="S347" s="2">
        <v>46136</v>
      </c>
      <c r="T347" s="7" t="s">
        <v>422</v>
      </c>
      <c r="U347" s="2">
        <f t="shared" si="23"/>
        <v>46136</v>
      </c>
      <c r="V347" t="str">
        <f t="shared" si="25"/>
        <v>MBT</v>
      </c>
      <c r="W347" t="str">
        <f t="shared" si="22"/>
        <v>CME</v>
      </c>
    </row>
    <row r="348" spans="16:23" x14ac:dyDescent="0.2">
      <c r="P348" s="1" t="s">
        <v>434</v>
      </c>
      <c r="Q348" s="2">
        <v>45992</v>
      </c>
      <c r="R348" s="2">
        <v>46171</v>
      </c>
      <c r="S348" s="2">
        <v>46171</v>
      </c>
      <c r="T348" s="7" t="s">
        <v>422</v>
      </c>
      <c r="U348" s="2">
        <f t="shared" si="23"/>
        <v>46171</v>
      </c>
      <c r="V348" t="str">
        <f t="shared" si="25"/>
        <v>MBT</v>
      </c>
      <c r="W348" t="str">
        <f t="shared" si="22"/>
        <v>CME</v>
      </c>
    </row>
    <row r="349" spans="16:23" x14ac:dyDescent="0.2">
      <c r="P349" s="1" t="s">
        <v>435</v>
      </c>
      <c r="Q349" s="2">
        <v>45656</v>
      </c>
      <c r="R349" s="2">
        <v>46199</v>
      </c>
      <c r="S349" s="2">
        <v>46199</v>
      </c>
      <c r="T349" s="7" t="s">
        <v>422</v>
      </c>
      <c r="U349" s="2">
        <f t="shared" si="23"/>
        <v>46199</v>
      </c>
      <c r="V349" t="str">
        <f t="shared" si="25"/>
        <v>MBT</v>
      </c>
      <c r="W349" t="str">
        <f t="shared" si="22"/>
        <v>CME</v>
      </c>
    </row>
    <row r="350" spans="16:23" x14ac:dyDescent="0.2">
      <c r="P350" s="1" t="s">
        <v>436</v>
      </c>
      <c r="Q350" s="2">
        <v>46055</v>
      </c>
      <c r="R350" s="2">
        <v>46234</v>
      </c>
      <c r="S350" s="2">
        <v>46234</v>
      </c>
      <c r="T350" s="7" t="s">
        <v>422</v>
      </c>
      <c r="U350" s="2">
        <f t="shared" si="23"/>
        <v>46234</v>
      </c>
      <c r="V350" t="str">
        <f t="shared" si="25"/>
        <v>MBT</v>
      </c>
      <c r="W350" t="str">
        <f t="shared" si="22"/>
        <v>CME</v>
      </c>
    </row>
    <row r="351" spans="16:23" x14ac:dyDescent="0.2">
      <c r="P351" s="1" t="s">
        <v>437</v>
      </c>
      <c r="Q351" s="2">
        <v>46083</v>
      </c>
      <c r="R351" s="2">
        <v>46262</v>
      </c>
      <c r="S351" s="2">
        <v>46262</v>
      </c>
      <c r="T351" s="7" t="s">
        <v>422</v>
      </c>
      <c r="U351" s="2">
        <f t="shared" si="23"/>
        <v>46262</v>
      </c>
      <c r="V351" t="str">
        <f t="shared" si="25"/>
        <v>MBT</v>
      </c>
      <c r="W351" t="str">
        <f t="shared" si="22"/>
        <v>CME</v>
      </c>
    </row>
    <row r="352" spans="16:23" x14ac:dyDescent="0.2">
      <c r="P352" s="1" t="s">
        <v>438</v>
      </c>
      <c r="Q352" s="2">
        <v>45747</v>
      </c>
      <c r="R352" s="2">
        <v>46290</v>
      </c>
      <c r="S352" s="2">
        <v>46290</v>
      </c>
      <c r="T352" s="7" t="s">
        <v>422</v>
      </c>
      <c r="U352" s="2">
        <f t="shared" si="23"/>
        <v>46290</v>
      </c>
      <c r="V352" t="str">
        <f t="shared" si="25"/>
        <v>MBT</v>
      </c>
      <c r="W352" t="str">
        <f t="shared" si="22"/>
        <v>CME</v>
      </c>
    </row>
    <row r="353" spans="16:23" x14ac:dyDescent="0.2">
      <c r="P353" s="1" t="s">
        <v>439</v>
      </c>
      <c r="Q353" s="2">
        <v>45656</v>
      </c>
      <c r="R353" s="2">
        <v>46380</v>
      </c>
      <c r="S353" s="2">
        <v>46380</v>
      </c>
      <c r="T353" s="7" t="s">
        <v>422</v>
      </c>
      <c r="U353" s="2">
        <f t="shared" si="23"/>
        <v>46380</v>
      </c>
      <c r="V353" t="str">
        <f t="shared" si="25"/>
        <v>MBT</v>
      </c>
      <c r="W353" t="str">
        <f t="shared" si="22"/>
        <v>CME</v>
      </c>
    </row>
    <row r="354" spans="16:23" x14ac:dyDescent="0.2">
      <c r="P354" s="1" t="s">
        <v>440</v>
      </c>
      <c r="Q354" s="2">
        <v>45929</v>
      </c>
      <c r="R354" s="2">
        <v>46471</v>
      </c>
      <c r="S354" s="2">
        <v>46471</v>
      </c>
      <c r="T354" s="7" t="s">
        <v>422</v>
      </c>
      <c r="U354" s="2">
        <f t="shared" si="23"/>
        <v>46471</v>
      </c>
      <c r="V354" t="str">
        <f t="shared" si="25"/>
        <v>MBT</v>
      </c>
      <c r="W354" t="str">
        <f t="shared" si="22"/>
        <v>CME</v>
      </c>
    </row>
    <row r="355" spans="16:23" x14ac:dyDescent="0.2">
      <c r="P355" s="1" t="s">
        <v>441</v>
      </c>
      <c r="Q355" s="2">
        <v>46020</v>
      </c>
      <c r="R355" s="2">
        <v>46563</v>
      </c>
      <c r="S355" s="2">
        <v>46563</v>
      </c>
      <c r="T355" s="7" t="s">
        <v>422</v>
      </c>
      <c r="U355" s="2">
        <f t="shared" si="23"/>
        <v>46563</v>
      </c>
      <c r="V355" t="str">
        <f t="shared" si="25"/>
        <v>MBT</v>
      </c>
      <c r="W355" t="str">
        <f t="shared" si="22"/>
        <v>CME</v>
      </c>
    </row>
    <row r="356" spans="16:23" x14ac:dyDescent="0.2">
      <c r="P356" s="1" t="s">
        <v>442</v>
      </c>
      <c r="Q356" s="2">
        <v>46111</v>
      </c>
      <c r="R356" s="2">
        <v>46654</v>
      </c>
      <c r="S356" s="2">
        <v>46654</v>
      </c>
      <c r="T356" s="7" t="s">
        <v>422</v>
      </c>
      <c r="U356" s="2">
        <f t="shared" si="23"/>
        <v>46654</v>
      </c>
      <c r="V356" t="str">
        <f t="shared" si="25"/>
        <v>MBT</v>
      </c>
      <c r="W356" t="str">
        <f t="shared" si="22"/>
        <v>CME</v>
      </c>
    </row>
    <row r="357" spans="16:23" x14ac:dyDescent="0.2">
      <c r="P357" s="1" t="s">
        <v>443</v>
      </c>
      <c r="Q357" s="2">
        <v>46020</v>
      </c>
      <c r="R357" s="2">
        <v>46752</v>
      </c>
      <c r="S357" s="2">
        <v>46752</v>
      </c>
      <c r="T357" s="7" t="s">
        <v>422</v>
      </c>
      <c r="U357" s="2">
        <f t="shared" si="23"/>
        <v>46752</v>
      </c>
      <c r="V357" t="str">
        <f t="shared" si="25"/>
        <v>MBT</v>
      </c>
      <c r="W357" t="str">
        <f t="shared" si="22"/>
        <v>CME</v>
      </c>
    </row>
    <row r="358" spans="16:23" x14ac:dyDescent="0.2">
      <c r="P358" s="1" t="s">
        <v>82</v>
      </c>
      <c r="Q358" s="1" t="s">
        <v>83</v>
      </c>
      <c r="R358" s="1" t="s">
        <v>84</v>
      </c>
      <c r="S358" s="1" t="s">
        <v>85</v>
      </c>
      <c r="T358" s="7" t="s">
        <v>422</v>
      </c>
      <c r="U358" s="2">
        <f t="shared" si="23"/>
        <v>0</v>
      </c>
      <c r="V358" t="str">
        <f t="shared" si="25"/>
        <v>Product C</v>
      </c>
      <c r="W358" t="str">
        <f t="shared" si="22"/>
        <v>---</v>
      </c>
    </row>
    <row r="359" spans="16:23" x14ac:dyDescent="0.2">
      <c r="P359" s="1" t="s">
        <v>444</v>
      </c>
      <c r="Q359" s="2">
        <v>44271</v>
      </c>
      <c r="R359" s="2">
        <v>46097</v>
      </c>
      <c r="S359" s="2">
        <v>46097</v>
      </c>
      <c r="T359" s="7" t="s">
        <v>422</v>
      </c>
      <c r="U359" s="2">
        <f t="shared" si="23"/>
        <v>46097</v>
      </c>
      <c r="V359" t="str">
        <f t="shared" si="25"/>
        <v>EC</v>
      </c>
      <c r="W359" t="str">
        <f t="shared" si="22"/>
        <v>CME</v>
      </c>
    </row>
    <row r="360" spans="16:23" x14ac:dyDescent="0.2">
      <c r="P360" s="1" t="s">
        <v>445</v>
      </c>
      <c r="Q360" s="2">
        <v>45979</v>
      </c>
      <c r="R360" s="2">
        <v>46125</v>
      </c>
      <c r="S360" s="2">
        <v>46125</v>
      </c>
      <c r="T360" s="7" t="s">
        <v>422</v>
      </c>
      <c r="U360" s="2">
        <f t="shared" si="23"/>
        <v>46125</v>
      </c>
      <c r="V360" t="str">
        <f t="shared" si="25"/>
        <v>EC</v>
      </c>
      <c r="W360" t="str">
        <f t="shared" si="22"/>
        <v>CME</v>
      </c>
    </row>
    <row r="361" spans="16:23" x14ac:dyDescent="0.2">
      <c r="P361" s="1" t="s">
        <v>446</v>
      </c>
      <c r="Q361" s="2">
        <v>46042</v>
      </c>
      <c r="R361" s="2">
        <v>46160</v>
      </c>
      <c r="S361" s="2">
        <v>46160</v>
      </c>
      <c r="T361" s="7" t="s">
        <v>422</v>
      </c>
      <c r="U361" s="2">
        <f t="shared" si="23"/>
        <v>46160</v>
      </c>
      <c r="V361" t="str">
        <f t="shared" si="25"/>
        <v>EC</v>
      </c>
      <c r="W361" t="str">
        <f t="shared" si="22"/>
        <v>CME</v>
      </c>
    </row>
    <row r="362" spans="16:23" x14ac:dyDescent="0.2">
      <c r="P362" s="1" t="s">
        <v>447</v>
      </c>
      <c r="Q362" s="2">
        <v>44362</v>
      </c>
      <c r="R362" s="2">
        <v>46188</v>
      </c>
      <c r="S362" s="2">
        <v>46188</v>
      </c>
      <c r="T362" s="7" t="s">
        <v>422</v>
      </c>
      <c r="U362" s="2">
        <f t="shared" si="23"/>
        <v>46188</v>
      </c>
      <c r="V362" t="str">
        <f t="shared" si="25"/>
        <v>EC</v>
      </c>
      <c r="W362" t="str">
        <f t="shared" si="22"/>
        <v>CME</v>
      </c>
    </row>
    <row r="363" spans="16:23" x14ac:dyDescent="0.2">
      <c r="P363" s="1" t="s">
        <v>448</v>
      </c>
      <c r="Q363" s="2">
        <v>46070</v>
      </c>
      <c r="R363" s="2">
        <v>46216</v>
      </c>
      <c r="S363" s="2">
        <v>46216</v>
      </c>
      <c r="T363" s="7" t="s">
        <v>422</v>
      </c>
      <c r="U363" s="2">
        <f t="shared" si="23"/>
        <v>46216</v>
      </c>
      <c r="V363" t="str">
        <f t="shared" si="25"/>
        <v>EC</v>
      </c>
      <c r="W363" t="str">
        <f t="shared" si="22"/>
        <v>CME</v>
      </c>
    </row>
    <row r="364" spans="16:23" x14ac:dyDescent="0.2">
      <c r="P364" s="1" t="s">
        <v>449</v>
      </c>
      <c r="Q364" s="2">
        <v>46126</v>
      </c>
      <c r="R364" s="2">
        <v>46251</v>
      </c>
      <c r="S364" s="2">
        <v>46251</v>
      </c>
      <c r="T364" s="7" t="s">
        <v>422</v>
      </c>
      <c r="U364" s="2">
        <f t="shared" si="23"/>
        <v>46251</v>
      </c>
      <c r="V364" t="str">
        <f t="shared" si="25"/>
        <v>EC</v>
      </c>
      <c r="W364" t="str">
        <f t="shared" si="22"/>
        <v>CME</v>
      </c>
    </row>
    <row r="365" spans="16:23" x14ac:dyDescent="0.2">
      <c r="P365" s="1" t="s">
        <v>450</v>
      </c>
      <c r="Q365" s="2">
        <v>44453</v>
      </c>
      <c r="R365" s="2">
        <v>46279</v>
      </c>
      <c r="S365" s="2">
        <v>46279</v>
      </c>
      <c r="T365" s="7" t="s">
        <v>422</v>
      </c>
      <c r="U365" s="2">
        <f t="shared" si="23"/>
        <v>46279</v>
      </c>
      <c r="V365" t="str">
        <f t="shared" si="25"/>
        <v>EC</v>
      </c>
      <c r="W365" t="str">
        <f t="shared" si="22"/>
        <v>CME</v>
      </c>
    </row>
    <row r="366" spans="16:23" x14ac:dyDescent="0.2">
      <c r="P366" s="1" t="s">
        <v>451</v>
      </c>
      <c r="Q366" s="2">
        <v>44544</v>
      </c>
      <c r="R366" s="2">
        <v>46370</v>
      </c>
      <c r="S366" s="2">
        <v>46370</v>
      </c>
      <c r="T366" s="7" t="s">
        <v>422</v>
      </c>
      <c r="U366" s="2">
        <f t="shared" si="23"/>
        <v>46370</v>
      </c>
      <c r="V366" t="str">
        <f t="shared" si="25"/>
        <v>EC</v>
      </c>
      <c r="W366" t="str">
        <f t="shared" si="22"/>
        <v>CME</v>
      </c>
    </row>
    <row r="367" spans="16:23" x14ac:dyDescent="0.2">
      <c r="P367" s="1" t="s">
        <v>452</v>
      </c>
      <c r="Q367" s="2">
        <v>44635</v>
      </c>
      <c r="R367" s="2">
        <v>46461</v>
      </c>
      <c r="S367" s="2">
        <v>46461</v>
      </c>
      <c r="T367" s="7" t="s">
        <v>422</v>
      </c>
      <c r="U367" s="2">
        <f t="shared" si="23"/>
        <v>46461</v>
      </c>
      <c r="V367" t="str">
        <f t="shared" si="25"/>
        <v>EC</v>
      </c>
      <c r="W367" t="str">
        <f t="shared" si="22"/>
        <v>CME</v>
      </c>
    </row>
    <row r="368" spans="16:23" x14ac:dyDescent="0.2">
      <c r="P368" s="1" t="s">
        <v>453</v>
      </c>
      <c r="Q368" s="2">
        <v>44726</v>
      </c>
      <c r="R368" s="2">
        <v>46552</v>
      </c>
      <c r="S368" s="2">
        <v>46552</v>
      </c>
      <c r="T368" s="7" t="s">
        <v>422</v>
      </c>
      <c r="U368" s="2">
        <f t="shared" si="23"/>
        <v>46552</v>
      </c>
      <c r="V368" t="str">
        <f t="shared" si="25"/>
        <v>EC</v>
      </c>
      <c r="W368" t="str">
        <f t="shared" si="22"/>
        <v>CME</v>
      </c>
    </row>
    <row r="369" spans="16:23" x14ac:dyDescent="0.2">
      <c r="P369" s="1" t="s">
        <v>454</v>
      </c>
      <c r="Q369" s="2">
        <v>44824</v>
      </c>
      <c r="R369" s="2">
        <v>46643</v>
      </c>
      <c r="S369" s="2">
        <v>46643</v>
      </c>
      <c r="T369" s="7" t="s">
        <v>422</v>
      </c>
      <c r="U369" s="2">
        <f t="shared" si="23"/>
        <v>46643</v>
      </c>
      <c r="V369" t="str">
        <f t="shared" si="25"/>
        <v>EC</v>
      </c>
      <c r="W369" t="str">
        <f t="shared" si="22"/>
        <v>CME</v>
      </c>
    </row>
    <row r="370" spans="16:23" x14ac:dyDescent="0.2">
      <c r="P370" s="1" t="s">
        <v>455</v>
      </c>
      <c r="Q370" s="2">
        <v>44915</v>
      </c>
      <c r="R370" s="2">
        <v>46734</v>
      </c>
      <c r="S370" s="2">
        <v>46734</v>
      </c>
      <c r="T370" s="7" t="s">
        <v>422</v>
      </c>
      <c r="U370" s="2">
        <f t="shared" si="23"/>
        <v>46734</v>
      </c>
      <c r="V370" t="str">
        <f t="shared" si="25"/>
        <v>EC</v>
      </c>
      <c r="W370" t="str">
        <f t="shared" si="22"/>
        <v>CME</v>
      </c>
    </row>
    <row r="371" spans="16:23" x14ac:dyDescent="0.2">
      <c r="P371" s="1" t="s">
        <v>456</v>
      </c>
      <c r="Q371" s="2">
        <v>44999</v>
      </c>
      <c r="R371" s="2">
        <v>46825</v>
      </c>
      <c r="S371" s="2">
        <v>46825</v>
      </c>
      <c r="T371" s="7" t="s">
        <v>422</v>
      </c>
      <c r="U371" s="2">
        <f t="shared" si="23"/>
        <v>46825</v>
      </c>
      <c r="V371" t="str">
        <f t="shared" si="25"/>
        <v>EC</v>
      </c>
      <c r="W371" t="str">
        <f t="shared" si="22"/>
        <v>CME</v>
      </c>
    </row>
    <row r="372" spans="16:23" x14ac:dyDescent="0.2">
      <c r="P372" s="1" t="s">
        <v>457</v>
      </c>
      <c r="Q372" s="2">
        <v>45097</v>
      </c>
      <c r="R372" s="2">
        <v>46920</v>
      </c>
      <c r="S372" s="2">
        <v>46920</v>
      </c>
      <c r="T372" s="7" t="s">
        <v>422</v>
      </c>
      <c r="U372" s="2">
        <f t="shared" si="23"/>
        <v>46920</v>
      </c>
      <c r="V372" t="str">
        <f t="shared" si="25"/>
        <v>EC</v>
      </c>
      <c r="W372" t="str">
        <f t="shared" si="22"/>
        <v>CME</v>
      </c>
    </row>
    <row r="373" spans="16:23" x14ac:dyDescent="0.2">
      <c r="P373" s="1" t="s">
        <v>458</v>
      </c>
      <c r="Q373" s="2">
        <v>45188</v>
      </c>
      <c r="R373" s="2">
        <v>47014</v>
      </c>
      <c r="S373" s="2">
        <v>47014</v>
      </c>
      <c r="T373" s="7" t="s">
        <v>422</v>
      </c>
      <c r="U373" s="2">
        <f t="shared" si="23"/>
        <v>47014</v>
      </c>
      <c r="V373" t="str">
        <f t="shared" si="25"/>
        <v>EC</v>
      </c>
      <c r="W373" t="str">
        <f t="shared" si="22"/>
        <v>CME</v>
      </c>
    </row>
    <row r="374" spans="16:23" x14ac:dyDescent="0.2">
      <c r="P374" s="1" t="s">
        <v>459</v>
      </c>
      <c r="Q374" s="2">
        <v>45279</v>
      </c>
      <c r="R374" s="2">
        <v>47105</v>
      </c>
      <c r="S374" s="2">
        <v>47105</v>
      </c>
      <c r="T374" s="7" t="s">
        <v>422</v>
      </c>
      <c r="U374" s="2">
        <f t="shared" si="23"/>
        <v>47105</v>
      </c>
      <c r="V374" t="str">
        <f t="shared" si="25"/>
        <v>EC</v>
      </c>
      <c r="W374" t="str">
        <f t="shared" si="22"/>
        <v>CME</v>
      </c>
    </row>
    <row r="375" spans="16:23" x14ac:dyDescent="0.2">
      <c r="P375" s="1" t="s">
        <v>460</v>
      </c>
      <c r="Q375" s="2">
        <v>45370</v>
      </c>
      <c r="R375" s="2">
        <v>47196</v>
      </c>
      <c r="S375" s="2">
        <v>47196</v>
      </c>
      <c r="T375" s="7" t="s">
        <v>422</v>
      </c>
      <c r="U375" s="2">
        <f t="shared" si="23"/>
        <v>47196</v>
      </c>
      <c r="V375" t="str">
        <f t="shared" si="25"/>
        <v>EC</v>
      </c>
      <c r="W375" t="str">
        <f t="shared" si="22"/>
        <v>CME</v>
      </c>
    </row>
    <row r="376" spans="16:23" x14ac:dyDescent="0.2">
      <c r="P376" s="1" t="s">
        <v>461</v>
      </c>
      <c r="Q376" s="2">
        <v>45461</v>
      </c>
      <c r="R376" s="2">
        <v>47284</v>
      </c>
      <c r="S376" s="2">
        <v>47284</v>
      </c>
      <c r="T376" s="7" t="s">
        <v>422</v>
      </c>
      <c r="U376" s="2">
        <f t="shared" si="23"/>
        <v>47284</v>
      </c>
      <c r="V376" t="str">
        <f t="shared" si="25"/>
        <v>EC</v>
      </c>
      <c r="W376" t="str">
        <f t="shared" si="22"/>
        <v>CME</v>
      </c>
    </row>
    <row r="377" spans="16:23" x14ac:dyDescent="0.2">
      <c r="P377" s="1" t="s">
        <v>462</v>
      </c>
      <c r="Q377" s="2">
        <v>45552</v>
      </c>
      <c r="R377" s="2">
        <v>47378</v>
      </c>
      <c r="S377" s="2">
        <v>47378</v>
      </c>
      <c r="T377" s="7" t="s">
        <v>422</v>
      </c>
      <c r="U377" s="2">
        <f t="shared" si="23"/>
        <v>47378</v>
      </c>
      <c r="V377" t="str">
        <f t="shared" si="25"/>
        <v>EC</v>
      </c>
      <c r="W377" t="str">
        <f t="shared" si="22"/>
        <v>CME</v>
      </c>
    </row>
    <row r="378" spans="16:23" x14ac:dyDescent="0.2">
      <c r="P378" s="1" t="s">
        <v>463</v>
      </c>
      <c r="Q378" s="2">
        <v>45643</v>
      </c>
      <c r="R378" s="2">
        <v>47469</v>
      </c>
      <c r="S378" s="2">
        <v>47469</v>
      </c>
      <c r="T378" s="7" t="s">
        <v>422</v>
      </c>
      <c r="U378" s="2">
        <f t="shared" si="23"/>
        <v>47469</v>
      </c>
      <c r="V378" t="str">
        <f t="shared" si="25"/>
        <v>EC</v>
      </c>
      <c r="W378" t="str">
        <f t="shared" si="22"/>
        <v>CME</v>
      </c>
    </row>
    <row r="379" spans="16:23" x14ac:dyDescent="0.2">
      <c r="P379" s="1" t="s">
        <v>464</v>
      </c>
      <c r="Q379" s="2">
        <v>45734</v>
      </c>
      <c r="R379" s="2">
        <v>47560</v>
      </c>
      <c r="S379" s="2">
        <v>47560</v>
      </c>
      <c r="T379" s="7" t="s">
        <v>422</v>
      </c>
      <c r="U379" s="2">
        <f t="shared" si="23"/>
        <v>47560</v>
      </c>
      <c r="V379" t="str">
        <f t="shared" si="25"/>
        <v>EC</v>
      </c>
      <c r="W379" t="str">
        <f t="shared" si="22"/>
        <v>CME</v>
      </c>
    </row>
    <row r="380" spans="16:23" x14ac:dyDescent="0.2">
      <c r="P380" s="1" t="s">
        <v>465</v>
      </c>
      <c r="Q380" s="2">
        <v>45825</v>
      </c>
      <c r="R380" s="2">
        <v>47651</v>
      </c>
      <c r="S380" s="2">
        <v>47651</v>
      </c>
      <c r="T380" s="7" t="s">
        <v>422</v>
      </c>
      <c r="U380" s="2">
        <f t="shared" si="23"/>
        <v>47651</v>
      </c>
      <c r="V380" t="str">
        <f t="shared" si="25"/>
        <v>EC</v>
      </c>
      <c r="W380" t="str">
        <f t="shared" si="22"/>
        <v>CME</v>
      </c>
    </row>
    <row r="381" spans="16:23" x14ac:dyDescent="0.2">
      <c r="P381" s="1" t="s">
        <v>466</v>
      </c>
      <c r="Q381" s="2">
        <v>45916</v>
      </c>
      <c r="R381" s="2">
        <v>47742</v>
      </c>
      <c r="S381" s="2">
        <v>47742</v>
      </c>
      <c r="T381" s="7" t="s">
        <v>422</v>
      </c>
      <c r="U381" s="2">
        <f t="shared" si="23"/>
        <v>47742</v>
      </c>
      <c r="V381" t="str">
        <f t="shared" si="25"/>
        <v>EC</v>
      </c>
      <c r="W381" t="str">
        <f t="shared" si="22"/>
        <v>CME</v>
      </c>
    </row>
    <row r="382" spans="16:23" x14ac:dyDescent="0.2">
      <c r="P382" s="1" t="s">
        <v>467</v>
      </c>
      <c r="Q382" s="2">
        <v>46007</v>
      </c>
      <c r="R382" s="2">
        <v>47833</v>
      </c>
      <c r="S382" s="2">
        <v>47833</v>
      </c>
      <c r="T382" s="7" t="s">
        <v>422</v>
      </c>
      <c r="U382" s="2">
        <f t="shared" si="23"/>
        <v>47833</v>
      </c>
      <c r="V382" t="str">
        <f t="shared" si="25"/>
        <v>EC</v>
      </c>
      <c r="W382" t="str">
        <f t="shared" si="22"/>
        <v>CME</v>
      </c>
    </row>
    <row r="383" spans="16:23" x14ac:dyDescent="0.2">
      <c r="P383" s="1" t="s">
        <v>468</v>
      </c>
      <c r="Q383" s="2">
        <v>46098</v>
      </c>
      <c r="R383" s="2">
        <v>47924</v>
      </c>
      <c r="S383" s="2">
        <v>47924</v>
      </c>
      <c r="T383" s="7" t="s">
        <v>422</v>
      </c>
      <c r="U383" s="2">
        <f t="shared" si="23"/>
        <v>47924</v>
      </c>
      <c r="V383" t="str">
        <f t="shared" si="25"/>
        <v>EC</v>
      </c>
      <c r="W383" t="str">
        <f t="shared" si="22"/>
        <v>CME</v>
      </c>
    </row>
    <row r="384" spans="16:23" x14ac:dyDescent="0.2">
      <c r="P384" s="1" t="s">
        <v>82</v>
      </c>
      <c r="Q384" s="1" t="s">
        <v>83</v>
      </c>
      <c r="R384" s="1" t="s">
        <v>84</v>
      </c>
      <c r="S384" s="1" t="s">
        <v>85</v>
      </c>
      <c r="T384" s="1" t="s">
        <v>86</v>
      </c>
      <c r="U384" s="2">
        <f t="shared" si="23"/>
        <v>0</v>
      </c>
      <c r="V384" t="str">
        <f t="shared" si="25"/>
        <v>Product C</v>
      </c>
      <c r="W384" t="str">
        <f t="shared" si="22"/>
        <v>---</v>
      </c>
    </row>
    <row r="385" spans="16:23" x14ac:dyDescent="0.2">
      <c r="P385" s="1" t="s">
        <v>469</v>
      </c>
      <c r="Q385" s="2">
        <v>46021</v>
      </c>
      <c r="R385" s="2">
        <v>46108</v>
      </c>
      <c r="S385" s="2">
        <v>46108</v>
      </c>
      <c r="T385" s="2">
        <v>46080</v>
      </c>
      <c r="U385" s="2">
        <f t="shared" si="23"/>
        <v>46080</v>
      </c>
      <c r="V385" t="str">
        <f t="shared" si="25"/>
        <v>PL</v>
      </c>
      <c r="W385" t="str">
        <f t="shared" si="22"/>
        <v>NYMEX</v>
      </c>
    </row>
    <row r="386" spans="16:23" x14ac:dyDescent="0.2">
      <c r="P386" s="1" t="s">
        <v>470</v>
      </c>
      <c r="Q386" s="2">
        <v>45124</v>
      </c>
      <c r="R386" s="2">
        <v>46140</v>
      </c>
      <c r="S386" s="2">
        <v>46140</v>
      </c>
      <c r="T386" s="2">
        <v>46112</v>
      </c>
      <c r="U386" s="2">
        <f t="shared" si="23"/>
        <v>46112</v>
      </c>
      <c r="V386" t="str">
        <f t="shared" si="25"/>
        <v>PL</v>
      </c>
      <c r="W386" t="str">
        <f t="shared" si="22"/>
        <v>NYMEX</v>
      </c>
    </row>
    <row r="387" spans="16:23" x14ac:dyDescent="0.2">
      <c r="P387" s="1" t="s">
        <v>471</v>
      </c>
      <c r="Q387" s="2">
        <v>46079</v>
      </c>
      <c r="R387" s="2">
        <v>46169</v>
      </c>
      <c r="S387" s="2">
        <v>46169</v>
      </c>
      <c r="T387" s="2">
        <v>46142</v>
      </c>
      <c r="U387" s="2">
        <f t="shared" si="23"/>
        <v>46142</v>
      </c>
      <c r="V387" t="str">
        <f t="shared" si="25"/>
        <v>PL</v>
      </c>
      <c r="W387" t="str">
        <f t="shared" ref="W387:W415" si="26">IFERROR(INDEX(AC:AC, MATCH(V387,AB:AB,0)),"---")</f>
        <v>NYMEX</v>
      </c>
    </row>
    <row r="388" spans="16:23" x14ac:dyDescent="0.2">
      <c r="P388" s="1" t="s">
        <v>472</v>
      </c>
      <c r="Q388" s="2">
        <v>46111</v>
      </c>
      <c r="R388" s="2">
        <v>46199</v>
      </c>
      <c r="S388" s="2">
        <v>46199</v>
      </c>
      <c r="T388" s="2">
        <v>46171</v>
      </c>
      <c r="U388" s="2">
        <f t="shared" ref="U388:U415" si="27">MIN(R388:T388)</f>
        <v>46171</v>
      </c>
      <c r="V388" t="str">
        <f t="shared" si="25"/>
        <v>PL</v>
      </c>
      <c r="W388" t="str">
        <f t="shared" si="26"/>
        <v>NYMEX</v>
      </c>
    </row>
    <row r="389" spans="16:23" x14ac:dyDescent="0.2">
      <c r="P389" s="1" t="s">
        <v>473</v>
      </c>
      <c r="Q389" s="2">
        <v>45135</v>
      </c>
      <c r="R389" s="2">
        <v>46232</v>
      </c>
      <c r="S389" s="2">
        <v>46232</v>
      </c>
      <c r="T389" s="2">
        <v>46203</v>
      </c>
      <c r="U389" s="2">
        <f t="shared" si="27"/>
        <v>46203</v>
      </c>
      <c r="V389" t="str">
        <f t="shared" si="25"/>
        <v>PL</v>
      </c>
      <c r="W389" t="str">
        <f t="shared" si="26"/>
        <v>NYMEX</v>
      </c>
    </row>
    <row r="390" spans="16:23" x14ac:dyDescent="0.2">
      <c r="P390" s="1" t="s">
        <v>474</v>
      </c>
      <c r="Q390" s="2">
        <v>45229</v>
      </c>
      <c r="R390" s="2">
        <v>46323</v>
      </c>
      <c r="S390" s="2">
        <v>46323</v>
      </c>
      <c r="T390" s="2">
        <v>46295</v>
      </c>
      <c r="U390" s="2">
        <f t="shared" si="27"/>
        <v>46295</v>
      </c>
      <c r="V390" t="str">
        <f t="shared" si="25"/>
        <v>PL</v>
      </c>
      <c r="W390" t="str">
        <f t="shared" si="26"/>
        <v>NYMEX</v>
      </c>
    </row>
    <row r="391" spans="16:23" x14ac:dyDescent="0.2">
      <c r="P391" s="1" t="s">
        <v>475</v>
      </c>
      <c r="Q391" s="2">
        <v>45321</v>
      </c>
      <c r="R391" s="2">
        <v>46414</v>
      </c>
      <c r="S391" s="2">
        <v>46414</v>
      </c>
      <c r="T391" s="2">
        <v>46387</v>
      </c>
      <c r="U391" s="2">
        <f t="shared" si="27"/>
        <v>46387</v>
      </c>
      <c r="V391" t="str">
        <f t="shared" si="25"/>
        <v>PL</v>
      </c>
      <c r="W391" t="str">
        <f t="shared" si="26"/>
        <v>NYMEX</v>
      </c>
    </row>
    <row r="392" spans="16:23" x14ac:dyDescent="0.2">
      <c r="P392" s="1" t="s">
        <v>476</v>
      </c>
      <c r="Q392" s="2">
        <v>45411</v>
      </c>
      <c r="R392" s="2">
        <v>46505</v>
      </c>
      <c r="S392" s="2">
        <v>46505</v>
      </c>
      <c r="T392" s="2">
        <v>46477</v>
      </c>
      <c r="U392" s="2">
        <f t="shared" si="27"/>
        <v>46477</v>
      </c>
      <c r="V392" t="str">
        <f t="shared" si="25"/>
        <v>PL</v>
      </c>
      <c r="W392" t="str">
        <f t="shared" si="26"/>
        <v>NYMEX</v>
      </c>
    </row>
    <row r="393" spans="16:23" x14ac:dyDescent="0.2">
      <c r="P393" s="1" t="s">
        <v>477</v>
      </c>
      <c r="Q393" s="2">
        <v>45503</v>
      </c>
      <c r="R393" s="2">
        <v>46596</v>
      </c>
      <c r="S393" s="2">
        <v>46596</v>
      </c>
      <c r="T393" s="2">
        <v>46568</v>
      </c>
      <c r="U393" s="2">
        <f t="shared" si="27"/>
        <v>46568</v>
      </c>
      <c r="V393" t="str">
        <f t="shared" si="25"/>
        <v>PL</v>
      </c>
      <c r="W393" t="str">
        <f t="shared" si="26"/>
        <v>NYMEX</v>
      </c>
    </row>
    <row r="394" spans="16:23" x14ac:dyDescent="0.2">
      <c r="P394" s="1" t="s">
        <v>478</v>
      </c>
      <c r="Q394" s="2">
        <v>45595</v>
      </c>
      <c r="R394" s="2">
        <v>46687</v>
      </c>
      <c r="S394" s="2">
        <v>46687</v>
      </c>
      <c r="T394" s="2">
        <v>46660</v>
      </c>
      <c r="U394" s="2">
        <f t="shared" si="27"/>
        <v>46660</v>
      </c>
      <c r="V394" t="str">
        <f t="shared" si="25"/>
        <v>PL</v>
      </c>
      <c r="W394" t="str">
        <f t="shared" si="26"/>
        <v>NYMEX</v>
      </c>
    </row>
    <row r="395" spans="16:23" x14ac:dyDescent="0.2">
      <c r="P395" s="1" t="s">
        <v>479</v>
      </c>
      <c r="Q395" s="2">
        <v>45687</v>
      </c>
      <c r="R395" s="2">
        <v>46779</v>
      </c>
      <c r="S395" s="2">
        <v>46779</v>
      </c>
      <c r="T395" s="2">
        <v>46752</v>
      </c>
      <c r="U395" s="2">
        <f t="shared" si="27"/>
        <v>46752</v>
      </c>
      <c r="V395" t="str">
        <f t="shared" si="25"/>
        <v>PL</v>
      </c>
      <c r="W395" t="str">
        <f t="shared" si="26"/>
        <v>NYMEX</v>
      </c>
    </row>
    <row r="396" spans="16:23" x14ac:dyDescent="0.2">
      <c r="P396" s="1" t="s">
        <v>480</v>
      </c>
      <c r="Q396" s="2">
        <v>45776</v>
      </c>
      <c r="R396" s="2">
        <v>46869</v>
      </c>
      <c r="S396" s="2">
        <v>46869</v>
      </c>
      <c r="T396" s="2">
        <v>46843</v>
      </c>
      <c r="U396" s="2">
        <f t="shared" si="27"/>
        <v>46843</v>
      </c>
      <c r="V396" t="str">
        <f t="shared" si="25"/>
        <v>PL</v>
      </c>
      <c r="W396" t="str">
        <f t="shared" si="26"/>
        <v>NYMEX</v>
      </c>
    </row>
    <row r="397" spans="16:23" x14ac:dyDescent="0.2">
      <c r="P397" s="1" t="s">
        <v>481</v>
      </c>
      <c r="Q397" s="2">
        <v>45868</v>
      </c>
      <c r="R397" s="2">
        <v>46961</v>
      </c>
      <c r="S397" s="2">
        <v>46961</v>
      </c>
      <c r="T397" s="2">
        <v>46934</v>
      </c>
      <c r="U397" s="2">
        <f t="shared" si="27"/>
        <v>46934</v>
      </c>
      <c r="V397" t="str">
        <f t="shared" si="25"/>
        <v>PL</v>
      </c>
      <c r="W397" t="str">
        <f t="shared" si="26"/>
        <v>NYMEX</v>
      </c>
    </row>
    <row r="398" spans="16:23" x14ac:dyDescent="0.2">
      <c r="P398" s="1" t="s">
        <v>482</v>
      </c>
      <c r="Q398" s="2">
        <v>45960</v>
      </c>
      <c r="R398" s="2">
        <v>47053</v>
      </c>
      <c r="S398" s="2">
        <v>47053</v>
      </c>
      <c r="T398" s="2">
        <v>47025</v>
      </c>
      <c r="U398" s="2">
        <f t="shared" si="27"/>
        <v>47025</v>
      </c>
      <c r="V398" t="str">
        <f t="shared" si="25"/>
        <v>PL</v>
      </c>
      <c r="W398" t="str">
        <f t="shared" si="26"/>
        <v>NYMEX</v>
      </c>
    </row>
    <row r="399" spans="16:23" x14ac:dyDescent="0.2">
      <c r="P399" s="1" t="s">
        <v>483</v>
      </c>
      <c r="Q399" s="2">
        <v>46051</v>
      </c>
      <c r="R399" s="2">
        <v>47147</v>
      </c>
      <c r="S399" s="2">
        <v>47147</v>
      </c>
      <c r="T399" s="2">
        <v>47116</v>
      </c>
      <c r="U399" s="2">
        <f t="shared" si="27"/>
        <v>47116</v>
      </c>
      <c r="V399" t="str">
        <f t="shared" ref="V399:V415" si="28">MID(P399,1,LEN(P399)-3)</f>
        <v>PL</v>
      </c>
      <c r="W399" t="str">
        <f t="shared" si="26"/>
        <v>NYMEX</v>
      </c>
    </row>
    <row r="400" spans="16:23" x14ac:dyDescent="0.2">
      <c r="P400" s="1" t="s">
        <v>82</v>
      </c>
      <c r="Q400" s="1" t="s">
        <v>83</v>
      </c>
      <c r="R400" s="1" t="s">
        <v>84</v>
      </c>
      <c r="S400" s="1" t="s">
        <v>85</v>
      </c>
      <c r="T400" s="1" t="s">
        <v>86</v>
      </c>
      <c r="U400" s="2">
        <f t="shared" si="27"/>
        <v>0</v>
      </c>
      <c r="V400" t="str">
        <f t="shared" si="28"/>
        <v>Product C</v>
      </c>
      <c r="W400" t="str">
        <f t="shared" si="26"/>
        <v>---</v>
      </c>
    </row>
    <row r="401" spans="16:23" x14ac:dyDescent="0.2">
      <c r="P401" s="1" t="s">
        <v>484</v>
      </c>
      <c r="Q401" s="2">
        <v>45124</v>
      </c>
      <c r="R401" s="2">
        <v>46108</v>
      </c>
      <c r="S401" s="2">
        <v>46108</v>
      </c>
      <c r="T401" s="2">
        <v>46080</v>
      </c>
      <c r="U401" s="2">
        <f t="shared" si="27"/>
        <v>46080</v>
      </c>
      <c r="V401" t="str">
        <f t="shared" si="28"/>
        <v>PA</v>
      </c>
      <c r="W401" t="str">
        <f t="shared" si="26"/>
        <v>NYMEX</v>
      </c>
    </row>
    <row r="402" spans="16:23" x14ac:dyDescent="0.2">
      <c r="P402" s="1" t="s">
        <v>485</v>
      </c>
      <c r="Q402" s="2">
        <v>46051</v>
      </c>
      <c r="R402" s="2">
        <v>46140</v>
      </c>
      <c r="S402" s="2">
        <v>46140</v>
      </c>
      <c r="T402" s="2">
        <v>46112</v>
      </c>
      <c r="U402" s="2">
        <f t="shared" si="27"/>
        <v>46112</v>
      </c>
      <c r="V402" t="str">
        <f t="shared" si="28"/>
        <v>PA</v>
      </c>
      <c r="W402" t="str">
        <f t="shared" si="26"/>
        <v>NYMEX</v>
      </c>
    </row>
    <row r="403" spans="16:23" x14ac:dyDescent="0.2">
      <c r="P403" s="1" t="s">
        <v>486</v>
      </c>
      <c r="Q403" s="2">
        <v>46079</v>
      </c>
      <c r="R403" s="2">
        <v>46169</v>
      </c>
      <c r="S403" s="2">
        <v>46169</v>
      </c>
      <c r="T403" s="2">
        <v>46142</v>
      </c>
      <c r="U403" s="2">
        <f t="shared" si="27"/>
        <v>46142</v>
      </c>
      <c r="V403" t="str">
        <f t="shared" si="28"/>
        <v>PA</v>
      </c>
      <c r="W403" t="str">
        <f t="shared" si="26"/>
        <v>NYMEX</v>
      </c>
    </row>
    <row r="404" spans="16:23" x14ac:dyDescent="0.2">
      <c r="P404" s="1" t="s">
        <v>487</v>
      </c>
      <c r="Q404" s="2">
        <v>45124</v>
      </c>
      <c r="R404" s="2">
        <v>46199</v>
      </c>
      <c r="S404" s="2">
        <v>46199</v>
      </c>
      <c r="T404" s="2">
        <v>46171</v>
      </c>
      <c r="U404" s="2">
        <f t="shared" si="27"/>
        <v>46171</v>
      </c>
      <c r="V404" t="str">
        <f t="shared" si="28"/>
        <v>PA</v>
      </c>
      <c r="W404" t="str">
        <f t="shared" si="26"/>
        <v>NYMEX</v>
      </c>
    </row>
    <row r="405" spans="16:23" x14ac:dyDescent="0.2">
      <c r="P405" s="1" t="s">
        <v>488</v>
      </c>
      <c r="Q405" s="2">
        <v>45197</v>
      </c>
      <c r="R405" s="2">
        <v>46293</v>
      </c>
      <c r="S405" s="2">
        <v>46293</v>
      </c>
      <c r="T405" s="2">
        <v>46265</v>
      </c>
      <c r="U405" s="2">
        <f t="shared" si="27"/>
        <v>46265</v>
      </c>
      <c r="V405" t="str">
        <f t="shared" si="28"/>
        <v>PA</v>
      </c>
      <c r="W405" t="str">
        <f t="shared" si="26"/>
        <v>NYMEX</v>
      </c>
    </row>
    <row r="406" spans="16:23" x14ac:dyDescent="0.2">
      <c r="P406" s="1" t="s">
        <v>489</v>
      </c>
      <c r="Q406" s="2">
        <v>45288</v>
      </c>
      <c r="R406" s="2">
        <v>46385</v>
      </c>
      <c r="S406" s="2">
        <v>46385</v>
      </c>
      <c r="T406" s="2">
        <v>46356</v>
      </c>
      <c r="U406" s="2">
        <f t="shared" si="27"/>
        <v>46356</v>
      </c>
      <c r="V406" t="str">
        <f t="shared" si="28"/>
        <v>PA</v>
      </c>
      <c r="W406" t="str">
        <f t="shared" si="26"/>
        <v>NYMEX</v>
      </c>
    </row>
    <row r="407" spans="16:23" x14ac:dyDescent="0.2">
      <c r="P407" s="1" t="s">
        <v>490</v>
      </c>
      <c r="Q407" s="2">
        <v>45378</v>
      </c>
      <c r="R407" s="2">
        <v>46475</v>
      </c>
      <c r="S407" s="2">
        <v>46475</v>
      </c>
      <c r="T407" s="2">
        <v>46444</v>
      </c>
      <c r="U407" s="2">
        <f t="shared" si="27"/>
        <v>46444</v>
      </c>
      <c r="V407" t="str">
        <f t="shared" si="28"/>
        <v>PA</v>
      </c>
      <c r="W407" t="str">
        <f t="shared" si="26"/>
        <v>NYMEX</v>
      </c>
    </row>
    <row r="408" spans="16:23" x14ac:dyDescent="0.2">
      <c r="P408" s="1" t="s">
        <v>491</v>
      </c>
      <c r="Q408" s="2">
        <v>45470</v>
      </c>
      <c r="R408" s="2">
        <v>46566</v>
      </c>
      <c r="S408" s="2">
        <v>46566</v>
      </c>
      <c r="T408" s="2">
        <v>46535</v>
      </c>
      <c r="U408" s="2">
        <f t="shared" si="27"/>
        <v>46535</v>
      </c>
      <c r="V408" t="str">
        <f t="shared" si="28"/>
        <v>PA</v>
      </c>
      <c r="W408" t="str">
        <f t="shared" si="26"/>
        <v>NYMEX</v>
      </c>
    </row>
    <row r="409" spans="16:23" x14ac:dyDescent="0.2">
      <c r="P409" s="1" t="s">
        <v>492</v>
      </c>
      <c r="Q409" s="2">
        <v>45562</v>
      </c>
      <c r="R409" s="2">
        <v>46658</v>
      </c>
      <c r="S409" s="2">
        <v>46658</v>
      </c>
      <c r="T409" s="2">
        <v>46630</v>
      </c>
      <c r="U409" s="2">
        <f t="shared" si="27"/>
        <v>46630</v>
      </c>
      <c r="V409" t="str">
        <f t="shared" si="28"/>
        <v>PA</v>
      </c>
      <c r="W409" t="str">
        <f t="shared" si="26"/>
        <v>NYMEX</v>
      </c>
    </row>
    <row r="410" spans="16:23" x14ac:dyDescent="0.2">
      <c r="P410" s="1" t="s">
        <v>493</v>
      </c>
      <c r="Q410" s="2">
        <v>45656</v>
      </c>
      <c r="R410" s="2">
        <v>46750</v>
      </c>
      <c r="S410" s="2">
        <v>46750</v>
      </c>
      <c r="T410" s="2">
        <v>46721</v>
      </c>
      <c r="U410" s="2">
        <f t="shared" si="27"/>
        <v>46721</v>
      </c>
      <c r="V410" t="str">
        <f t="shared" si="28"/>
        <v>PA</v>
      </c>
      <c r="W410" t="str">
        <f t="shared" si="26"/>
        <v>NYMEX</v>
      </c>
    </row>
    <row r="411" spans="16:23" x14ac:dyDescent="0.2">
      <c r="P411" s="1" t="s">
        <v>494</v>
      </c>
      <c r="Q411" s="2">
        <v>45744</v>
      </c>
      <c r="R411" s="2">
        <v>46841</v>
      </c>
      <c r="S411" s="2">
        <v>46841</v>
      </c>
      <c r="T411" s="2">
        <v>46812</v>
      </c>
      <c r="U411" s="2">
        <f t="shared" si="27"/>
        <v>46812</v>
      </c>
      <c r="V411" t="str">
        <f t="shared" si="28"/>
        <v>PA</v>
      </c>
      <c r="W411" t="str">
        <f t="shared" si="26"/>
        <v>NYMEX</v>
      </c>
    </row>
    <row r="412" spans="16:23" x14ac:dyDescent="0.2">
      <c r="P412" s="1" t="s">
        <v>495</v>
      </c>
      <c r="Q412" s="2">
        <v>45835</v>
      </c>
      <c r="R412" s="2">
        <v>46932</v>
      </c>
      <c r="S412" s="2">
        <v>46932</v>
      </c>
      <c r="T412" s="2">
        <v>46904</v>
      </c>
      <c r="U412" s="2">
        <f t="shared" si="27"/>
        <v>46904</v>
      </c>
      <c r="V412" t="str">
        <f t="shared" si="28"/>
        <v>PA</v>
      </c>
      <c r="W412" t="str">
        <f t="shared" si="26"/>
        <v>NYMEX</v>
      </c>
    </row>
    <row r="413" spans="16:23" x14ac:dyDescent="0.2">
      <c r="P413" s="1" t="s">
        <v>496</v>
      </c>
      <c r="Q413" s="2">
        <v>45929</v>
      </c>
      <c r="R413" s="2">
        <v>47023</v>
      </c>
      <c r="S413" s="2">
        <v>47023</v>
      </c>
      <c r="T413" s="2">
        <v>46996</v>
      </c>
      <c r="U413" s="2">
        <f t="shared" si="27"/>
        <v>46996</v>
      </c>
      <c r="V413" t="str">
        <f t="shared" si="28"/>
        <v>PA</v>
      </c>
      <c r="W413" t="str">
        <f t="shared" si="26"/>
        <v>NYMEX</v>
      </c>
    </row>
    <row r="414" spans="16:23" x14ac:dyDescent="0.2">
      <c r="P414" s="1" t="s">
        <v>497</v>
      </c>
      <c r="Q414" s="2">
        <v>46021</v>
      </c>
      <c r="R414" s="2">
        <v>47114</v>
      </c>
      <c r="S414" s="2">
        <v>47114</v>
      </c>
      <c r="T414" s="2">
        <v>47087</v>
      </c>
      <c r="U414" s="2">
        <f t="shared" si="27"/>
        <v>47087</v>
      </c>
      <c r="V414" t="str">
        <f t="shared" si="28"/>
        <v>PA</v>
      </c>
      <c r="W414" t="str">
        <f t="shared" si="26"/>
        <v>NYMEX</v>
      </c>
    </row>
    <row r="415" spans="16:23" x14ac:dyDescent="0.2">
      <c r="P415" s="1" t="s">
        <v>498</v>
      </c>
      <c r="Q415" s="2">
        <v>46111</v>
      </c>
      <c r="R415" s="2">
        <v>47204</v>
      </c>
      <c r="S415" s="2">
        <v>47204</v>
      </c>
      <c r="T415" s="2">
        <v>47177</v>
      </c>
      <c r="U415" s="2">
        <f t="shared" si="27"/>
        <v>47177</v>
      </c>
      <c r="V415" t="str">
        <f t="shared" si="28"/>
        <v>PA</v>
      </c>
      <c r="W415" t="str">
        <f t="shared" si="26"/>
        <v>NYMEX</v>
      </c>
    </row>
  </sheetData>
  <autoFilter ref="P2:V415" xr:uid="{DF12E983-9A03-4C87-9EEC-C93537213DFF}"/>
  <sortState xmlns:xlrd2="http://schemas.microsoft.com/office/spreadsheetml/2017/richdata2" ref="A3:D40">
    <sortCondition ref="D3:D40"/>
    <sortCondition ref="C3:C40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D75B-DBBC-304A-AC5C-B2AA3B591850}">
  <sheetPr codeName="Лист4"/>
  <dimension ref="A1:O426"/>
  <sheetViews>
    <sheetView tabSelected="1" zoomScale="108" zoomScaleNormal="80" workbookViewId="0">
      <selection activeCell="H18" sqref="H18"/>
    </sheetView>
  </sheetViews>
  <sheetFormatPr baseColWidth="10" defaultColWidth="8.83203125" defaultRowHeight="15" x14ac:dyDescent="0.2"/>
  <cols>
    <col min="1" max="1" width="18.33203125" style="18" bestFit="1" customWidth="1"/>
    <col min="2" max="2" width="15.83203125" style="1" bestFit="1" customWidth="1"/>
    <col min="3" max="3" width="15.6640625" style="1" bestFit="1" customWidth="1"/>
    <col min="4" max="4" width="16.5" style="1" bestFit="1" customWidth="1"/>
    <col min="5" max="5" width="10.6640625" style="23" bestFit="1" customWidth="1"/>
    <col min="6" max="6" width="15.33203125" style="1" bestFit="1" customWidth="1"/>
    <col min="7" max="7" width="13.6640625" bestFit="1" customWidth="1"/>
    <col min="8" max="8" width="10.6640625" style="35" customWidth="1"/>
    <col min="9" max="9" width="10.5" customWidth="1"/>
    <col min="10" max="10" width="10.1640625" style="40" bestFit="1" customWidth="1"/>
    <col min="11" max="13" width="10.1640625" style="40" customWidth="1"/>
  </cols>
  <sheetData>
    <row r="1" spans="1:15" x14ac:dyDescent="0.2">
      <c r="A1" s="51" t="s">
        <v>532</v>
      </c>
      <c r="B1" s="52"/>
      <c r="C1" s="52"/>
      <c r="D1" s="52"/>
      <c r="E1" s="52"/>
      <c r="F1" s="52" t="s">
        <v>531</v>
      </c>
      <c r="G1" s="52"/>
      <c r="H1" s="53"/>
      <c r="I1" s="57" t="s">
        <v>652</v>
      </c>
      <c r="J1" s="54"/>
      <c r="K1" s="54"/>
      <c r="N1" s="54" t="s">
        <v>542</v>
      </c>
      <c r="O1" s="54"/>
    </row>
    <row r="2" spans="1:15" x14ac:dyDescent="0.2">
      <c r="A2" s="17" t="s">
        <v>82</v>
      </c>
      <c r="B2" s="36" t="s">
        <v>83</v>
      </c>
      <c r="C2" s="16" t="s">
        <v>84</v>
      </c>
      <c r="D2" s="8" t="s">
        <v>85</v>
      </c>
      <c r="E2" s="21" t="s">
        <v>337</v>
      </c>
      <c r="F2" s="3" t="s">
        <v>421</v>
      </c>
      <c r="G2" s="4" t="s">
        <v>521</v>
      </c>
      <c r="H2" s="34" t="s">
        <v>499</v>
      </c>
      <c r="I2" t="s">
        <v>649</v>
      </c>
      <c r="J2" s="40" t="s">
        <v>541</v>
      </c>
      <c r="K2" s="40" t="s">
        <v>650</v>
      </c>
      <c r="N2" s="4" t="s">
        <v>336</v>
      </c>
      <c r="O2" s="4" t="s">
        <v>499</v>
      </c>
    </row>
    <row r="3" spans="1:15" x14ac:dyDescent="0.2">
      <c r="A3" s="18" t="s">
        <v>87</v>
      </c>
      <c r="B3" s="2">
        <v>41605</v>
      </c>
      <c r="C3" s="2">
        <v>46108</v>
      </c>
      <c r="D3" s="2">
        <v>46108</v>
      </c>
      <c r="E3" s="37" t="s">
        <v>422</v>
      </c>
      <c r="F3" s="2">
        <f>MIN(C3:E3)</f>
        <v>46108</v>
      </c>
      <c r="G3" t="str">
        <f>MID(A3,1,LEN(A3)-3)</f>
        <v>NG</v>
      </c>
      <c r="H3" s="35" t="str">
        <f t="shared" ref="H3:H66" si="0">IFERROR(INDEX(O:O, MATCH(G3,N:N,0)),"---")</f>
        <v>NYMEX</v>
      </c>
      <c r="I3" t="str" cm="1">
        <f t="array" ref="I3">IFERROR(INDEX(Spreads!A:A,MATCH(1, (Spreads!E:E=G3)*(Spreads!C:C&gt;=F3), 0)),"---")</f>
        <v>NG-3.26</v>
      </c>
      <c r="J3" s="40">
        <f>IFERROR(INDEX(Spreads!C:C, MATCH('CME Data'!I3,Spreads!A:A,0)),"---")</f>
        <v>46108</v>
      </c>
      <c r="K3" s="40">
        <f>MIN(J3,F3)</f>
        <v>46108</v>
      </c>
      <c r="N3" t="s">
        <v>500</v>
      </c>
      <c r="O3" t="s">
        <v>514</v>
      </c>
    </row>
    <row r="4" spans="1:15" x14ac:dyDescent="0.2">
      <c r="A4" s="18" t="s">
        <v>88</v>
      </c>
      <c r="B4" s="2">
        <v>41605</v>
      </c>
      <c r="C4" s="2">
        <v>46140</v>
      </c>
      <c r="D4" s="2">
        <v>46140</v>
      </c>
      <c r="E4" s="37" t="s">
        <v>422</v>
      </c>
      <c r="F4" s="2">
        <f t="shared" ref="F4:F67" si="1">MIN(C4:E4)</f>
        <v>46140</v>
      </c>
      <c r="G4" t="str">
        <f t="shared" ref="G4:G67" si="2">MID(A4,1,LEN(A4)-3)</f>
        <v>NG</v>
      </c>
      <c r="H4" s="35" t="str">
        <f t="shared" si="0"/>
        <v>NYMEX</v>
      </c>
      <c r="I4" t="str" cm="1">
        <f t="array" ref="I4">IFERROR(INDEX(Spreads!A:A,MATCH(1, (Spreads!E:E=G4)*(Spreads!C:C&gt;=F4), 0)),"---")</f>
        <v>NG-4.26</v>
      </c>
      <c r="J4" s="40">
        <f>IFERROR(INDEX(Spreads!C:C, MATCH('CME Data'!I4,Spreads!A:A,0)),"---")</f>
        <v>46140</v>
      </c>
      <c r="K4" s="40">
        <f t="shared" ref="K4:K67" si="3">MIN(J4,F4)</f>
        <v>46140</v>
      </c>
      <c r="N4" t="s">
        <v>501</v>
      </c>
      <c r="O4" t="s">
        <v>515</v>
      </c>
    </row>
    <row r="5" spans="1:15" x14ac:dyDescent="0.2">
      <c r="A5" s="18" t="s">
        <v>89</v>
      </c>
      <c r="B5" s="2">
        <v>41605</v>
      </c>
      <c r="C5" s="2">
        <v>46169</v>
      </c>
      <c r="D5" s="2">
        <v>46169</v>
      </c>
      <c r="E5" s="37" t="s">
        <v>422</v>
      </c>
      <c r="F5" s="2">
        <f t="shared" si="1"/>
        <v>46169</v>
      </c>
      <c r="G5" t="str">
        <f t="shared" si="2"/>
        <v>NG</v>
      </c>
      <c r="H5" s="35" t="str">
        <f t="shared" si="0"/>
        <v>NYMEX</v>
      </c>
      <c r="I5" t="str" cm="1">
        <f t="array" ref="I5">IFERROR(INDEX(Spreads!A:A,MATCH(1, (Spreads!E:E=G5)*(Spreads!C:C&gt;=F5), 0)),"---")</f>
        <v>NG-5.26</v>
      </c>
      <c r="J5" s="40">
        <f>IFERROR(INDEX(Spreads!C:C, MATCH('CME Data'!I5,Spreads!A:A,0)),"---")</f>
        <v>46169</v>
      </c>
      <c r="K5" s="40">
        <f t="shared" si="3"/>
        <v>46169</v>
      </c>
      <c r="N5" t="s">
        <v>502</v>
      </c>
      <c r="O5" t="s">
        <v>515</v>
      </c>
    </row>
    <row r="6" spans="1:15" x14ac:dyDescent="0.2">
      <c r="A6" s="18" t="s">
        <v>90</v>
      </c>
      <c r="B6" s="2">
        <v>41605</v>
      </c>
      <c r="C6" s="2">
        <v>46199</v>
      </c>
      <c r="D6" s="2">
        <v>46199</v>
      </c>
      <c r="E6" s="37" t="s">
        <v>422</v>
      </c>
      <c r="F6" s="2">
        <f t="shared" si="1"/>
        <v>46199</v>
      </c>
      <c r="G6" t="str">
        <f t="shared" si="2"/>
        <v>NG</v>
      </c>
      <c r="H6" s="35" t="str">
        <f t="shared" si="0"/>
        <v>NYMEX</v>
      </c>
      <c r="I6" t="str" cm="1">
        <f t="array" ref="I6">IFERROR(INDEX(Spreads!A:A,MATCH(1, (Spreads!E:E=G6)*(Spreads!C:C&gt;=F6), 0)),"---")</f>
        <v>NG-6.26</v>
      </c>
      <c r="J6" s="40">
        <f>IFERROR(INDEX(Spreads!C:C, MATCH('CME Data'!I6,Spreads!A:A,0)),"---")</f>
        <v>46199</v>
      </c>
      <c r="K6" s="40">
        <f t="shared" si="3"/>
        <v>46199</v>
      </c>
      <c r="N6" t="s">
        <v>505</v>
      </c>
      <c r="O6" t="s">
        <v>516</v>
      </c>
    </row>
    <row r="7" spans="1:15" x14ac:dyDescent="0.2">
      <c r="A7" s="18" t="s">
        <v>91</v>
      </c>
      <c r="B7" s="2">
        <v>41605</v>
      </c>
      <c r="C7" s="2">
        <v>46232</v>
      </c>
      <c r="D7" s="2">
        <v>46232</v>
      </c>
      <c r="E7" s="37" t="s">
        <v>422</v>
      </c>
      <c r="F7" s="2">
        <f t="shared" si="1"/>
        <v>46232</v>
      </c>
      <c r="G7" t="str">
        <f t="shared" si="2"/>
        <v>NG</v>
      </c>
      <c r="H7" s="35" t="str">
        <f t="shared" si="0"/>
        <v>NYMEX</v>
      </c>
      <c r="I7" t="str" cm="1">
        <f t="array" ref="I7">IFERROR(INDEX(Spreads!A:A,MATCH(1, (Spreads!E:E=G7)*(Spreads!C:C&gt;=F7), 0)),"---")</f>
        <v>NG-7.26</v>
      </c>
      <c r="J7" s="40">
        <f>IFERROR(INDEX(Spreads!C:C, MATCH('CME Data'!I7,Spreads!A:A,0)),"---")</f>
        <v>46232</v>
      </c>
      <c r="K7" s="40">
        <f t="shared" si="3"/>
        <v>46232</v>
      </c>
      <c r="N7" t="s">
        <v>506</v>
      </c>
      <c r="O7" t="s">
        <v>514</v>
      </c>
    </row>
    <row r="8" spans="1:15" x14ac:dyDescent="0.2">
      <c r="A8" s="18" t="s">
        <v>92</v>
      </c>
      <c r="B8" s="2">
        <v>41605</v>
      </c>
      <c r="C8" s="2">
        <v>46261</v>
      </c>
      <c r="D8" s="2">
        <v>46261</v>
      </c>
      <c r="E8" s="37" t="s">
        <v>422</v>
      </c>
      <c r="F8" s="2">
        <f t="shared" si="1"/>
        <v>46261</v>
      </c>
      <c r="G8" t="str">
        <f t="shared" si="2"/>
        <v>NG</v>
      </c>
      <c r="H8" s="35" t="str">
        <f t="shared" si="0"/>
        <v>NYMEX</v>
      </c>
      <c r="I8" t="str" cm="1">
        <f t="array" ref="I8">IFERROR(INDEX(Spreads!A:A,MATCH(1, (Spreads!E:E=G8)*(Spreads!C:C&gt;=F8), 0)),"---")</f>
        <v>NG-8.26</v>
      </c>
      <c r="J8" s="40">
        <f>IFERROR(INDEX(Spreads!C:C, MATCH('CME Data'!I8,Spreads!A:A,0)),"---")</f>
        <v>46261</v>
      </c>
      <c r="K8" s="40">
        <f t="shared" si="3"/>
        <v>46261</v>
      </c>
      <c r="N8" t="s">
        <v>507</v>
      </c>
      <c r="O8" t="s">
        <v>514</v>
      </c>
    </row>
    <row r="9" spans="1:15" x14ac:dyDescent="0.2">
      <c r="A9" s="18" t="s">
        <v>93</v>
      </c>
      <c r="B9" s="2">
        <v>41605</v>
      </c>
      <c r="C9" s="2">
        <v>46293</v>
      </c>
      <c r="D9" s="2">
        <v>46293</v>
      </c>
      <c r="E9" s="37" t="s">
        <v>422</v>
      </c>
      <c r="F9" s="2">
        <f t="shared" si="1"/>
        <v>46293</v>
      </c>
      <c r="G9" t="str">
        <f t="shared" si="2"/>
        <v>NG</v>
      </c>
      <c r="H9" s="35" t="str">
        <f t="shared" si="0"/>
        <v>NYMEX</v>
      </c>
      <c r="I9" t="str" cm="1">
        <f t="array" ref="I9">IFERROR(INDEX(Spreads!A:A,MATCH(1, (Spreads!E:E=G9)*(Spreads!C:C&gt;=F9), 0)),"---")</f>
        <v>NG-9.26</v>
      </c>
      <c r="J9" s="40">
        <f>IFERROR(INDEX(Spreads!C:C, MATCH('CME Data'!I9,Spreads!A:A,0)),"---")</f>
        <v>46293</v>
      </c>
      <c r="K9" s="40">
        <f t="shared" si="3"/>
        <v>46293</v>
      </c>
      <c r="N9" t="s">
        <v>509</v>
      </c>
      <c r="O9" t="s">
        <v>514</v>
      </c>
    </row>
    <row r="10" spans="1:15" x14ac:dyDescent="0.2">
      <c r="A10" s="18" t="s">
        <v>94</v>
      </c>
      <c r="B10" s="2">
        <v>41605</v>
      </c>
      <c r="C10" s="2">
        <v>46323</v>
      </c>
      <c r="D10" s="2">
        <v>46323</v>
      </c>
      <c r="E10" s="37" t="s">
        <v>422</v>
      </c>
      <c r="F10" s="2">
        <f t="shared" si="1"/>
        <v>46323</v>
      </c>
      <c r="G10" t="str">
        <f t="shared" si="2"/>
        <v>NG</v>
      </c>
      <c r="H10" s="35" t="str">
        <f t="shared" si="0"/>
        <v>NYMEX</v>
      </c>
      <c r="I10" t="str" cm="1">
        <f t="array" ref="I10">IFERROR(INDEX(Spreads!A:A,MATCH(1, (Spreads!E:E=G10)*(Spreads!C:C&gt;=F10), 0)),"---")</f>
        <v>---</v>
      </c>
      <c r="J10" s="40" t="str">
        <f>IFERROR(INDEX(Spreads!C:C, MATCH('CME Data'!I10,Spreads!A:A,0)),"---")</f>
        <v>---</v>
      </c>
      <c r="K10" s="40">
        <f t="shared" si="3"/>
        <v>46323</v>
      </c>
      <c r="N10" t="s">
        <v>508</v>
      </c>
      <c r="O10" t="s">
        <v>516</v>
      </c>
    </row>
    <row r="11" spans="1:15" x14ac:dyDescent="0.2">
      <c r="A11" s="18" t="s">
        <v>95</v>
      </c>
      <c r="B11" s="2">
        <v>41605</v>
      </c>
      <c r="C11" s="2">
        <v>46351</v>
      </c>
      <c r="D11" s="2">
        <v>46351</v>
      </c>
      <c r="E11" s="37" t="s">
        <v>422</v>
      </c>
      <c r="F11" s="2">
        <f t="shared" si="1"/>
        <v>46351</v>
      </c>
      <c r="G11" t="str">
        <f t="shared" si="2"/>
        <v>NG</v>
      </c>
      <c r="H11" s="35" t="str">
        <f t="shared" si="0"/>
        <v>NYMEX</v>
      </c>
      <c r="I11" t="str" cm="1">
        <f t="array" ref="I11">IFERROR(INDEX(Spreads!A:A,MATCH(1, (Spreads!E:E=G11)*(Spreads!C:C&gt;=F11), 0)),"---")</f>
        <v>---</v>
      </c>
      <c r="J11" s="40" t="str">
        <f>IFERROR(INDEX(Spreads!C:C, MATCH('CME Data'!I11,Spreads!A:A,0)),"---")</f>
        <v>---</v>
      </c>
      <c r="K11" s="40">
        <f t="shared" si="3"/>
        <v>46351</v>
      </c>
      <c r="N11" t="s">
        <v>510</v>
      </c>
      <c r="O11" t="s">
        <v>517</v>
      </c>
    </row>
    <row r="12" spans="1:15" x14ac:dyDescent="0.2">
      <c r="A12" s="18" t="s">
        <v>96</v>
      </c>
      <c r="B12" s="2">
        <v>41969</v>
      </c>
      <c r="C12" s="2">
        <v>46385</v>
      </c>
      <c r="D12" s="2">
        <v>46385</v>
      </c>
      <c r="E12" s="37" t="s">
        <v>422</v>
      </c>
      <c r="F12" s="2">
        <f t="shared" si="1"/>
        <v>46385</v>
      </c>
      <c r="G12" t="str">
        <f t="shared" si="2"/>
        <v>NG</v>
      </c>
      <c r="H12" s="35" t="str">
        <f t="shared" si="0"/>
        <v>NYMEX</v>
      </c>
      <c r="I12" t="str" cm="1">
        <f t="array" ref="I12">IFERROR(INDEX(Spreads!A:A,MATCH(1, (Spreads!E:E=G12)*(Spreads!C:C&gt;=F12), 0)),"---")</f>
        <v>---</v>
      </c>
      <c r="J12" s="40" t="str">
        <f>IFERROR(INDEX(Spreads!C:C, MATCH('CME Data'!I12,Spreads!A:A,0)),"---")</f>
        <v>---</v>
      </c>
      <c r="K12" s="40">
        <f t="shared" si="3"/>
        <v>46385</v>
      </c>
      <c r="N12" t="s">
        <v>511</v>
      </c>
      <c r="O12" t="s">
        <v>517</v>
      </c>
    </row>
    <row r="13" spans="1:15" x14ac:dyDescent="0.2">
      <c r="A13" s="18" t="s">
        <v>97</v>
      </c>
      <c r="B13" s="2">
        <v>41969</v>
      </c>
      <c r="C13" s="2">
        <v>46414</v>
      </c>
      <c r="D13" s="2">
        <v>46414</v>
      </c>
      <c r="E13" s="37" t="s">
        <v>422</v>
      </c>
      <c r="F13" s="2">
        <f t="shared" si="1"/>
        <v>46414</v>
      </c>
      <c r="G13" t="str">
        <f t="shared" si="2"/>
        <v>NG</v>
      </c>
      <c r="H13" s="35" t="str">
        <f t="shared" si="0"/>
        <v>NYMEX</v>
      </c>
      <c r="I13" t="str" cm="1">
        <f t="array" ref="I13">IFERROR(INDEX(Spreads!A:A,MATCH(1, (Spreads!E:E=G13)*(Spreads!C:C&gt;=F13), 0)),"---")</f>
        <v>---</v>
      </c>
      <c r="J13" s="40" t="str">
        <f>IFERROR(INDEX(Spreads!C:C, MATCH('CME Data'!I13,Spreads!A:A,0)),"---")</f>
        <v>---</v>
      </c>
      <c r="K13" s="40">
        <f t="shared" si="3"/>
        <v>46414</v>
      </c>
      <c r="N13" t="s">
        <v>518</v>
      </c>
      <c r="O13" t="s">
        <v>515</v>
      </c>
    </row>
    <row r="14" spans="1:15" x14ac:dyDescent="0.2">
      <c r="A14" s="18" t="s">
        <v>98</v>
      </c>
      <c r="B14" s="2">
        <v>41969</v>
      </c>
      <c r="C14" s="2">
        <v>46442</v>
      </c>
      <c r="D14" s="2">
        <v>46442</v>
      </c>
      <c r="E14" s="37" t="s">
        <v>422</v>
      </c>
      <c r="F14" s="2">
        <f t="shared" si="1"/>
        <v>46442</v>
      </c>
      <c r="G14" t="str">
        <f t="shared" si="2"/>
        <v>NG</v>
      </c>
      <c r="H14" s="35" t="str">
        <f t="shared" si="0"/>
        <v>NYMEX</v>
      </c>
      <c r="I14" t="str" cm="1">
        <f t="array" ref="I14">IFERROR(INDEX(Spreads!A:A,MATCH(1, (Spreads!E:E=G14)*(Spreads!C:C&gt;=F14), 0)),"---")</f>
        <v>---</v>
      </c>
      <c r="J14" s="40" t="str">
        <f>IFERROR(INDEX(Spreads!C:C, MATCH('CME Data'!I14,Spreads!A:A,0)),"---")</f>
        <v>---</v>
      </c>
      <c r="K14" s="40">
        <f t="shared" si="3"/>
        <v>46442</v>
      </c>
      <c r="N14" t="s">
        <v>567</v>
      </c>
      <c r="O14" t="s">
        <v>569</v>
      </c>
    </row>
    <row r="15" spans="1:15" x14ac:dyDescent="0.2">
      <c r="A15" s="18" t="s">
        <v>99</v>
      </c>
      <c r="B15" s="2">
        <v>41969</v>
      </c>
      <c r="C15" s="2">
        <v>46475</v>
      </c>
      <c r="D15" s="2">
        <v>46475</v>
      </c>
      <c r="E15" s="37" t="s">
        <v>422</v>
      </c>
      <c r="F15" s="2">
        <f t="shared" si="1"/>
        <v>46475</v>
      </c>
      <c r="G15" t="str">
        <f t="shared" si="2"/>
        <v>NG</v>
      </c>
      <c r="H15" s="35" t="str">
        <f t="shared" si="0"/>
        <v>NYMEX</v>
      </c>
      <c r="I15" t="str" cm="1">
        <f t="array" ref="I15">IFERROR(INDEX(Spreads!A:A,MATCH(1, (Spreads!E:E=G15)*(Spreads!C:C&gt;=F15), 0)),"---")</f>
        <v>---</v>
      </c>
      <c r="J15" s="40" t="str">
        <f>IFERROR(INDEX(Spreads!C:C, MATCH('CME Data'!I15,Spreads!A:A,0)),"---")</f>
        <v>---</v>
      </c>
      <c r="K15" s="40">
        <f t="shared" si="3"/>
        <v>46475</v>
      </c>
      <c r="N15" t="s">
        <v>568</v>
      </c>
      <c r="O15" t="s">
        <v>569</v>
      </c>
    </row>
    <row r="16" spans="1:15" x14ac:dyDescent="0.2">
      <c r="A16" s="18" t="s">
        <v>100</v>
      </c>
      <c r="B16" s="2">
        <v>41969</v>
      </c>
      <c r="C16" s="2">
        <v>46505</v>
      </c>
      <c r="D16" s="2">
        <v>46505</v>
      </c>
      <c r="E16" s="37" t="s">
        <v>422</v>
      </c>
      <c r="F16" s="2">
        <f t="shared" si="1"/>
        <v>46505</v>
      </c>
      <c r="G16" t="str">
        <f t="shared" si="2"/>
        <v>NG</v>
      </c>
      <c r="H16" s="35" t="str">
        <f t="shared" si="0"/>
        <v>NYMEX</v>
      </c>
      <c r="I16" t="str" cm="1">
        <f t="array" ref="I16">IFERROR(INDEX(Spreads!A:A,MATCH(1, (Spreads!E:E=G16)*(Spreads!C:C&gt;=F16), 0)),"---")</f>
        <v>---</v>
      </c>
      <c r="J16" s="40" t="str">
        <f>IFERROR(INDEX(Spreads!C:C, MATCH('CME Data'!I16,Spreads!A:A,0)),"---")</f>
        <v>---</v>
      </c>
      <c r="K16" s="40">
        <f t="shared" si="3"/>
        <v>46505</v>
      </c>
    </row>
    <row r="17" spans="1:11" x14ac:dyDescent="0.2">
      <c r="A17" s="18" t="s">
        <v>101</v>
      </c>
      <c r="B17" s="2">
        <v>41969</v>
      </c>
      <c r="C17" s="2">
        <v>46533</v>
      </c>
      <c r="D17" s="2">
        <v>46533</v>
      </c>
      <c r="E17" s="37" t="s">
        <v>422</v>
      </c>
      <c r="F17" s="2">
        <f t="shared" si="1"/>
        <v>46533</v>
      </c>
      <c r="G17" t="str">
        <f t="shared" si="2"/>
        <v>NG</v>
      </c>
      <c r="H17" s="35" t="str">
        <f t="shared" si="0"/>
        <v>NYMEX</v>
      </c>
      <c r="I17" t="str" cm="1">
        <f t="array" ref="I17">IFERROR(INDEX(Spreads!A:A,MATCH(1, (Spreads!E:E=G17)*(Spreads!C:C&gt;=F17), 0)),"---")</f>
        <v>---</v>
      </c>
      <c r="J17" s="40" t="str">
        <f>IFERROR(INDEX(Spreads!C:C, MATCH('CME Data'!I17,Spreads!A:A,0)),"---")</f>
        <v>---</v>
      </c>
      <c r="K17" s="40">
        <f t="shared" si="3"/>
        <v>46533</v>
      </c>
    </row>
    <row r="18" spans="1:11" x14ac:dyDescent="0.2">
      <c r="A18" s="18" t="s">
        <v>102</v>
      </c>
      <c r="B18" s="2">
        <v>41969</v>
      </c>
      <c r="C18" s="2">
        <v>46566</v>
      </c>
      <c r="D18" s="2">
        <v>46566</v>
      </c>
      <c r="E18" s="37" t="s">
        <v>422</v>
      </c>
      <c r="F18" s="2">
        <f t="shared" si="1"/>
        <v>46566</v>
      </c>
      <c r="G18" t="str">
        <f t="shared" si="2"/>
        <v>NG</v>
      </c>
      <c r="H18" s="35" t="str">
        <f t="shared" si="0"/>
        <v>NYMEX</v>
      </c>
      <c r="I18" t="str" cm="1">
        <f t="array" ref="I18">IFERROR(INDEX(Spreads!A:A,MATCH(1, (Spreads!E:E=G18)*(Spreads!C:C&gt;=F18), 0)),"---")</f>
        <v>---</v>
      </c>
      <c r="J18" s="40" t="str">
        <f>IFERROR(INDEX(Spreads!C:C, MATCH('CME Data'!I18,Spreads!A:A,0)),"---")</f>
        <v>---</v>
      </c>
      <c r="K18" s="40">
        <f t="shared" si="3"/>
        <v>46566</v>
      </c>
    </row>
    <row r="19" spans="1:11" x14ac:dyDescent="0.2">
      <c r="A19" s="18" t="s">
        <v>103</v>
      </c>
      <c r="B19" s="2">
        <v>41969</v>
      </c>
      <c r="C19" s="2">
        <v>46596</v>
      </c>
      <c r="D19" s="2">
        <v>46596</v>
      </c>
      <c r="E19" s="37" t="s">
        <v>422</v>
      </c>
      <c r="F19" s="2">
        <f t="shared" si="1"/>
        <v>46596</v>
      </c>
      <c r="G19" t="str">
        <f t="shared" si="2"/>
        <v>NG</v>
      </c>
      <c r="H19" s="35" t="str">
        <f t="shared" si="0"/>
        <v>NYMEX</v>
      </c>
      <c r="I19" t="str" cm="1">
        <f t="array" ref="I19">IFERROR(INDEX(Spreads!A:A,MATCH(1, (Spreads!E:E=G19)*(Spreads!C:C&gt;=F19), 0)),"---")</f>
        <v>---</v>
      </c>
      <c r="J19" s="40" t="str">
        <f>IFERROR(INDEX(Spreads!C:C, MATCH('CME Data'!I19,Spreads!A:A,0)),"---")</f>
        <v>---</v>
      </c>
      <c r="K19" s="40">
        <f t="shared" si="3"/>
        <v>46596</v>
      </c>
    </row>
    <row r="20" spans="1:11" x14ac:dyDescent="0.2">
      <c r="A20" s="18" t="s">
        <v>104</v>
      </c>
      <c r="B20" s="2">
        <v>41969</v>
      </c>
      <c r="C20" s="2">
        <v>46626</v>
      </c>
      <c r="D20" s="2">
        <v>46626</v>
      </c>
      <c r="E20" s="37" t="s">
        <v>422</v>
      </c>
      <c r="F20" s="2">
        <f t="shared" si="1"/>
        <v>46626</v>
      </c>
      <c r="G20" t="str">
        <f t="shared" si="2"/>
        <v>NG</v>
      </c>
      <c r="H20" s="35" t="str">
        <f t="shared" si="0"/>
        <v>NYMEX</v>
      </c>
      <c r="I20" t="str" cm="1">
        <f t="array" ref="I20">IFERROR(INDEX(Spreads!A:A,MATCH(1, (Spreads!E:E=G20)*(Spreads!C:C&gt;=F20), 0)),"---")</f>
        <v>---</v>
      </c>
      <c r="J20" s="40" t="str">
        <f>IFERROR(INDEX(Spreads!C:C, MATCH('CME Data'!I20,Spreads!A:A,0)),"---")</f>
        <v>---</v>
      </c>
      <c r="K20" s="40">
        <f t="shared" si="3"/>
        <v>46626</v>
      </c>
    </row>
    <row r="21" spans="1:11" x14ac:dyDescent="0.2">
      <c r="A21" s="18" t="s">
        <v>105</v>
      </c>
      <c r="B21" s="2">
        <v>41969</v>
      </c>
      <c r="C21" s="2">
        <v>46658</v>
      </c>
      <c r="D21" s="2">
        <v>46658</v>
      </c>
      <c r="E21" s="37" t="s">
        <v>422</v>
      </c>
      <c r="F21" s="2">
        <f t="shared" si="1"/>
        <v>46658</v>
      </c>
      <c r="G21" t="str">
        <f t="shared" si="2"/>
        <v>NG</v>
      </c>
      <c r="H21" s="35" t="str">
        <f t="shared" si="0"/>
        <v>NYMEX</v>
      </c>
      <c r="I21" t="str" cm="1">
        <f t="array" ref="I21">IFERROR(INDEX(Spreads!A:A,MATCH(1, (Spreads!E:E=G21)*(Spreads!C:C&gt;=F21), 0)),"---")</f>
        <v>---</v>
      </c>
      <c r="J21" s="40" t="str">
        <f>IFERROR(INDEX(Spreads!C:C, MATCH('CME Data'!I21,Spreads!A:A,0)),"---")</f>
        <v>---</v>
      </c>
      <c r="K21" s="40">
        <f t="shared" si="3"/>
        <v>46658</v>
      </c>
    </row>
    <row r="22" spans="1:11" x14ac:dyDescent="0.2">
      <c r="A22" s="18" t="s">
        <v>106</v>
      </c>
      <c r="B22" s="2">
        <v>41969</v>
      </c>
      <c r="C22" s="2">
        <v>46687</v>
      </c>
      <c r="D22" s="2">
        <v>46687</v>
      </c>
      <c r="E22" s="37" t="s">
        <v>422</v>
      </c>
      <c r="F22" s="2">
        <f t="shared" si="1"/>
        <v>46687</v>
      </c>
      <c r="G22" t="str">
        <f t="shared" si="2"/>
        <v>NG</v>
      </c>
      <c r="H22" s="35" t="str">
        <f t="shared" si="0"/>
        <v>NYMEX</v>
      </c>
      <c r="I22" t="str" cm="1">
        <f t="array" ref="I22">IFERROR(INDEX(Spreads!A:A,MATCH(1, (Spreads!E:E=G22)*(Spreads!C:C&gt;=F22), 0)),"---")</f>
        <v>---</v>
      </c>
      <c r="J22" s="40" t="str">
        <f>IFERROR(INDEX(Spreads!C:C, MATCH('CME Data'!I22,Spreads!A:A,0)),"---")</f>
        <v>---</v>
      </c>
      <c r="K22" s="40">
        <f t="shared" si="3"/>
        <v>46687</v>
      </c>
    </row>
    <row r="23" spans="1:11" x14ac:dyDescent="0.2">
      <c r="A23" s="18" t="s">
        <v>107</v>
      </c>
      <c r="B23" s="2">
        <v>41969</v>
      </c>
      <c r="C23" s="2">
        <v>46717</v>
      </c>
      <c r="D23" s="2">
        <v>46717</v>
      </c>
      <c r="E23" s="37" t="s">
        <v>422</v>
      </c>
      <c r="F23" s="2">
        <f t="shared" si="1"/>
        <v>46717</v>
      </c>
      <c r="G23" t="str">
        <f t="shared" si="2"/>
        <v>NG</v>
      </c>
      <c r="H23" s="35" t="str">
        <f t="shared" si="0"/>
        <v>NYMEX</v>
      </c>
      <c r="I23" t="str" cm="1">
        <f t="array" ref="I23">IFERROR(INDEX(Spreads!A:A,MATCH(1, (Spreads!E:E=G23)*(Spreads!C:C&gt;=F23), 0)),"---")</f>
        <v>---</v>
      </c>
      <c r="J23" s="40" t="str">
        <f>IFERROR(INDEX(Spreads!C:C, MATCH('CME Data'!I23,Spreads!A:A,0)),"---")</f>
        <v>---</v>
      </c>
      <c r="K23" s="40">
        <f t="shared" si="3"/>
        <v>46717</v>
      </c>
    </row>
    <row r="24" spans="1:11" x14ac:dyDescent="0.2">
      <c r="A24" s="18" t="s">
        <v>108</v>
      </c>
      <c r="B24" s="2">
        <v>42335</v>
      </c>
      <c r="C24" s="2">
        <v>46750</v>
      </c>
      <c r="D24" s="2">
        <v>46750</v>
      </c>
      <c r="E24" s="37" t="s">
        <v>422</v>
      </c>
      <c r="F24" s="2">
        <f t="shared" si="1"/>
        <v>46750</v>
      </c>
      <c r="G24" t="str">
        <f t="shared" si="2"/>
        <v>NG</v>
      </c>
      <c r="H24" s="35" t="str">
        <f t="shared" si="0"/>
        <v>NYMEX</v>
      </c>
      <c r="I24" t="str" cm="1">
        <f t="array" ref="I24">IFERROR(INDEX(Spreads!A:A,MATCH(1, (Spreads!E:E=G24)*(Spreads!C:C&gt;=F24), 0)),"---")</f>
        <v>---</v>
      </c>
      <c r="J24" s="40" t="str">
        <f>IFERROR(INDEX(Spreads!C:C, MATCH('CME Data'!I24,Spreads!A:A,0)),"---")</f>
        <v>---</v>
      </c>
      <c r="K24" s="40">
        <f t="shared" si="3"/>
        <v>46750</v>
      </c>
    </row>
    <row r="25" spans="1:11" x14ac:dyDescent="0.2">
      <c r="A25" s="18" t="s">
        <v>109</v>
      </c>
      <c r="B25" s="2">
        <v>42335</v>
      </c>
      <c r="C25" s="2">
        <v>46779</v>
      </c>
      <c r="D25" s="2">
        <v>46779</v>
      </c>
      <c r="E25" s="37" t="s">
        <v>422</v>
      </c>
      <c r="F25" s="2">
        <f t="shared" si="1"/>
        <v>46779</v>
      </c>
      <c r="G25" t="str">
        <f t="shared" si="2"/>
        <v>NG</v>
      </c>
      <c r="H25" s="35" t="str">
        <f t="shared" si="0"/>
        <v>NYMEX</v>
      </c>
      <c r="I25" t="str" cm="1">
        <f t="array" ref="I25">IFERROR(INDEX(Spreads!A:A,MATCH(1, (Spreads!E:E=G25)*(Spreads!C:C&gt;=F25), 0)),"---")</f>
        <v>---</v>
      </c>
      <c r="J25" s="40" t="str">
        <f>IFERROR(INDEX(Spreads!C:C, MATCH('CME Data'!I25,Spreads!A:A,0)),"---")</f>
        <v>---</v>
      </c>
      <c r="K25" s="40">
        <f t="shared" si="3"/>
        <v>46779</v>
      </c>
    </row>
    <row r="26" spans="1:11" x14ac:dyDescent="0.2">
      <c r="A26" s="18" t="s">
        <v>110</v>
      </c>
      <c r="B26" s="2">
        <v>42335</v>
      </c>
      <c r="C26" s="2">
        <v>46808</v>
      </c>
      <c r="D26" s="2">
        <v>46808</v>
      </c>
      <c r="E26" s="37" t="s">
        <v>422</v>
      </c>
      <c r="F26" s="2">
        <f t="shared" si="1"/>
        <v>46808</v>
      </c>
      <c r="G26" t="str">
        <f t="shared" si="2"/>
        <v>NG</v>
      </c>
      <c r="H26" s="35" t="str">
        <f t="shared" si="0"/>
        <v>NYMEX</v>
      </c>
      <c r="I26" t="str" cm="1">
        <f t="array" ref="I26">IFERROR(INDEX(Spreads!A:A,MATCH(1, (Spreads!E:E=G26)*(Spreads!C:C&gt;=F26), 0)),"---")</f>
        <v>---</v>
      </c>
      <c r="J26" s="40" t="str">
        <f>IFERROR(INDEX(Spreads!C:C, MATCH('CME Data'!I26,Spreads!A:A,0)),"---")</f>
        <v>---</v>
      </c>
      <c r="K26" s="40">
        <f t="shared" si="3"/>
        <v>46808</v>
      </c>
    </row>
    <row r="27" spans="1:11" x14ac:dyDescent="0.2">
      <c r="A27" s="18" t="s">
        <v>111</v>
      </c>
      <c r="B27" s="2">
        <v>42335</v>
      </c>
      <c r="C27" s="2">
        <v>46841</v>
      </c>
      <c r="D27" s="2">
        <v>46841</v>
      </c>
      <c r="E27" s="37" t="s">
        <v>422</v>
      </c>
      <c r="F27" s="2">
        <f t="shared" si="1"/>
        <v>46841</v>
      </c>
      <c r="G27" t="str">
        <f t="shared" si="2"/>
        <v>NG</v>
      </c>
      <c r="H27" s="35" t="str">
        <f t="shared" si="0"/>
        <v>NYMEX</v>
      </c>
      <c r="I27" t="str" cm="1">
        <f t="array" ref="I27">IFERROR(INDEX(Spreads!A:A,MATCH(1, (Spreads!E:E=G27)*(Spreads!C:C&gt;=F27), 0)),"---")</f>
        <v>---</v>
      </c>
      <c r="J27" s="40" t="str">
        <f>IFERROR(INDEX(Spreads!C:C, MATCH('CME Data'!I27,Spreads!A:A,0)),"---")</f>
        <v>---</v>
      </c>
      <c r="K27" s="40">
        <f t="shared" si="3"/>
        <v>46841</v>
      </c>
    </row>
    <row r="28" spans="1:11" x14ac:dyDescent="0.2">
      <c r="A28" s="18" t="s">
        <v>112</v>
      </c>
      <c r="B28" s="2">
        <v>42335</v>
      </c>
      <c r="C28" s="2">
        <v>46869</v>
      </c>
      <c r="D28" s="2">
        <v>46869</v>
      </c>
      <c r="E28" s="37" t="s">
        <v>422</v>
      </c>
      <c r="F28" s="2">
        <f t="shared" si="1"/>
        <v>46869</v>
      </c>
      <c r="G28" t="str">
        <f t="shared" si="2"/>
        <v>NG</v>
      </c>
      <c r="H28" s="35" t="str">
        <f t="shared" si="0"/>
        <v>NYMEX</v>
      </c>
      <c r="I28" t="str" cm="1">
        <f t="array" ref="I28">IFERROR(INDEX(Spreads!A:A,MATCH(1, (Spreads!E:E=G28)*(Spreads!C:C&gt;=F28), 0)),"---")</f>
        <v>---</v>
      </c>
      <c r="J28" s="40" t="str">
        <f>IFERROR(INDEX(Spreads!C:C, MATCH('CME Data'!I28,Spreads!A:A,0)),"---")</f>
        <v>---</v>
      </c>
      <c r="K28" s="40">
        <f t="shared" si="3"/>
        <v>46869</v>
      </c>
    </row>
    <row r="29" spans="1:11" x14ac:dyDescent="0.2">
      <c r="A29" s="18" t="s">
        <v>113</v>
      </c>
      <c r="B29" s="2">
        <v>42335</v>
      </c>
      <c r="C29" s="2">
        <v>46899</v>
      </c>
      <c r="D29" s="2">
        <v>46899</v>
      </c>
      <c r="E29" s="37" t="s">
        <v>422</v>
      </c>
      <c r="F29" s="2">
        <f t="shared" si="1"/>
        <v>46899</v>
      </c>
      <c r="G29" t="str">
        <f t="shared" si="2"/>
        <v>NG</v>
      </c>
      <c r="H29" s="35" t="str">
        <f t="shared" si="0"/>
        <v>NYMEX</v>
      </c>
      <c r="I29" t="str" cm="1">
        <f t="array" ref="I29">IFERROR(INDEX(Spreads!A:A,MATCH(1, (Spreads!E:E=G29)*(Spreads!C:C&gt;=F29), 0)),"---")</f>
        <v>---</v>
      </c>
      <c r="J29" s="40" t="str">
        <f>IFERROR(INDEX(Spreads!C:C, MATCH('CME Data'!I29,Spreads!A:A,0)),"---")</f>
        <v>---</v>
      </c>
      <c r="K29" s="40">
        <f t="shared" si="3"/>
        <v>46899</v>
      </c>
    </row>
    <row r="30" spans="1:11" x14ac:dyDescent="0.2">
      <c r="A30" s="18" t="s">
        <v>114</v>
      </c>
      <c r="B30" s="2">
        <v>42335</v>
      </c>
      <c r="C30" s="2">
        <v>46932</v>
      </c>
      <c r="D30" s="2">
        <v>46932</v>
      </c>
      <c r="E30" s="37" t="s">
        <v>422</v>
      </c>
      <c r="F30" s="2">
        <f t="shared" si="1"/>
        <v>46932</v>
      </c>
      <c r="G30" t="str">
        <f t="shared" si="2"/>
        <v>NG</v>
      </c>
      <c r="H30" s="35" t="str">
        <f t="shared" si="0"/>
        <v>NYMEX</v>
      </c>
      <c r="I30" t="str" cm="1">
        <f t="array" ref="I30">IFERROR(INDEX(Spreads!A:A,MATCH(1, (Spreads!E:E=G30)*(Spreads!C:C&gt;=F30), 0)),"---")</f>
        <v>---</v>
      </c>
      <c r="J30" s="40" t="str">
        <f>IFERROR(INDEX(Spreads!C:C, MATCH('CME Data'!I30,Spreads!A:A,0)),"---")</f>
        <v>---</v>
      </c>
      <c r="K30" s="40">
        <f t="shared" si="3"/>
        <v>46932</v>
      </c>
    </row>
    <row r="31" spans="1:11" x14ac:dyDescent="0.2">
      <c r="A31" s="18" t="s">
        <v>115</v>
      </c>
      <c r="B31" s="2">
        <v>42335</v>
      </c>
      <c r="C31" s="2">
        <v>46961</v>
      </c>
      <c r="D31" s="2">
        <v>46961</v>
      </c>
      <c r="E31" s="37" t="s">
        <v>422</v>
      </c>
      <c r="F31" s="2">
        <f t="shared" si="1"/>
        <v>46961</v>
      </c>
      <c r="G31" t="str">
        <f t="shared" si="2"/>
        <v>NG</v>
      </c>
      <c r="H31" s="35" t="str">
        <f t="shared" si="0"/>
        <v>NYMEX</v>
      </c>
      <c r="I31" t="str" cm="1">
        <f t="array" ref="I31">IFERROR(INDEX(Spreads!A:A,MATCH(1, (Spreads!E:E=G31)*(Spreads!C:C&gt;=F31), 0)),"---")</f>
        <v>---</v>
      </c>
      <c r="J31" s="40" t="str">
        <f>IFERROR(INDEX(Spreads!C:C, MATCH('CME Data'!I31,Spreads!A:A,0)),"---")</f>
        <v>---</v>
      </c>
      <c r="K31" s="40">
        <f t="shared" si="3"/>
        <v>46961</v>
      </c>
    </row>
    <row r="32" spans="1:11" x14ac:dyDescent="0.2">
      <c r="A32" s="18" t="s">
        <v>116</v>
      </c>
      <c r="B32" s="2">
        <v>42335</v>
      </c>
      <c r="C32" s="2">
        <v>46994</v>
      </c>
      <c r="D32" s="2">
        <v>46994</v>
      </c>
      <c r="E32" s="37" t="s">
        <v>422</v>
      </c>
      <c r="F32" s="2">
        <f t="shared" si="1"/>
        <v>46994</v>
      </c>
      <c r="G32" t="str">
        <f t="shared" si="2"/>
        <v>NG</v>
      </c>
      <c r="H32" s="35" t="str">
        <f t="shared" si="0"/>
        <v>NYMEX</v>
      </c>
      <c r="I32" t="str" cm="1">
        <f t="array" ref="I32">IFERROR(INDEX(Spreads!A:A,MATCH(1, (Spreads!E:E=G32)*(Spreads!C:C&gt;=F32), 0)),"---")</f>
        <v>---</v>
      </c>
      <c r="J32" s="40" t="str">
        <f>IFERROR(INDEX(Spreads!C:C, MATCH('CME Data'!I32,Spreads!A:A,0)),"---")</f>
        <v>---</v>
      </c>
      <c r="K32" s="40">
        <f t="shared" si="3"/>
        <v>46994</v>
      </c>
    </row>
    <row r="33" spans="1:11" x14ac:dyDescent="0.2">
      <c r="A33" s="18" t="s">
        <v>117</v>
      </c>
      <c r="B33" s="2">
        <v>42335</v>
      </c>
      <c r="C33" s="2">
        <v>47023</v>
      </c>
      <c r="D33" s="2">
        <v>47023</v>
      </c>
      <c r="E33" s="37" t="s">
        <v>422</v>
      </c>
      <c r="F33" s="2">
        <f t="shared" si="1"/>
        <v>47023</v>
      </c>
      <c r="G33" t="str">
        <f t="shared" si="2"/>
        <v>NG</v>
      </c>
      <c r="H33" s="35" t="str">
        <f t="shared" si="0"/>
        <v>NYMEX</v>
      </c>
      <c r="I33" t="str" cm="1">
        <f t="array" ref="I33">IFERROR(INDEX(Spreads!A:A,MATCH(1, (Spreads!E:E=G33)*(Spreads!C:C&gt;=F33), 0)),"---")</f>
        <v>---</v>
      </c>
      <c r="J33" s="40" t="str">
        <f>IFERROR(INDEX(Spreads!C:C, MATCH('CME Data'!I33,Spreads!A:A,0)),"---")</f>
        <v>---</v>
      </c>
      <c r="K33" s="40">
        <f t="shared" si="3"/>
        <v>47023</v>
      </c>
    </row>
    <row r="34" spans="1:11" x14ac:dyDescent="0.2">
      <c r="A34" s="18" t="s">
        <v>118</v>
      </c>
      <c r="B34" s="2">
        <v>42335</v>
      </c>
      <c r="C34" s="2">
        <v>47053</v>
      </c>
      <c r="D34" s="2">
        <v>47053</v>
      </c>
      <c r="E34" s="37" t="s">
        <v>422</v>
      </c>
      <c r="F34" s="2">
        <f t="shared" si="1"/>
        <v>47053</v>
      </c>
      <c r="G34" t="str">
        <f t="shared" si="2"/>
        <v>NG</v>
      </c>
      <c r="H34" s="35" t="str">
        <f t="shared" si="0"/>
        <v>NYMEX</v>
      </c>
      <c r="I34" t="str" cm="1">
        <f t="array" ref="I34">IFERROR(INDEX(Spreads!A:A,MATCH(1, (Spreads!E:E=G34)*(Spreads!C:C&gt;=F34), 0)),"---")</f>
        <v>---</v>
      </c>
      <c r="J34" s="40" t="str">
        <f>IFERROR(INDEX(Spreads!C:C, MATCH('CME Data'!I34,Spreads!A:A,0)),"---")</f>
        <v>---</v>
      </c>
      <c r="K34" s="40">
        <f t="shared" si="3"/>
        <v>47053</v>
      </c>
    </row>
    <row r="35" spans="1:11" x14ac:dyDescent="0.2">
      <c r="A35" s="18" t="s">
        <v>119</v>
      </c>
      <c r="B35" s="2">
        <v>42335</v>
      </c>
      <c r="C35" s="2">
        <v>47085</v>
      </c>
      <c r="D35" s="2">
        <v>47085</v>
      </c>
      <c r="E35" s="37" t="s">
        <v>422</v>
      </c>
      <c r="F35" s="2">
        <f t="shared" si="1"/>
        <v>47085</v>
      </c>
      <c r="G35" t="str">
        <f t="shared" si="2"/>
        <v>NG</v>
      </c>
      <c r="H35" s="35" t="str">
        <f t="shared" si="0"/>
        <v>NYMEX</v>
      </c>
      <c r="I35" t="str" cm="1">
        <f t="array" ref="I35">IFERROR(INDEX(Spreads!A:A,MATCH(1, (Spreads!E:E=G35)*(Spreads!C:C&gt;=F35), 0)),"---")</f>
        <v>---</v>
      </c>
      <c r="J35" s="40" t="str">
        <f>IFERROR(INDEX(Spreads!C:C, MATCH('CME Data'!I35,Spreads!A:A,0)),"---")</f>
        <v>---</v>
      </c>
      <c r="K35" s="40">
        <f t="shared" si="3"/>
        <v>47085</v>
      </c>
    </row>
    <row r="36" spans="1:11" x14ac:dyDescent="0.2">
      <c r="A36" s="18" t="s">
        <v>120</v>
      </c>
      <c r="B36" s="2">
        <v>42703</v>
      </c>
      <c r="C36" s="2">
        <v>47114</v>
      </c>
      <c r="D36" s="2">
        <v>47114</v>
      </c>
      <c r="E36" s="37" t="s">
        <v>422</v>
      </c>
      <c r="F36" s="2">
        <f t="shared" si="1"/>
        <v>47114</v>
      </c>
      <c r="G36" t="str">
        <f t="shared" si="2"/>
        <v>NG</v>
      </c>
      <c r="H36" s="35" t="str">
        <f t="shared" si="0"/>
        <v>NYMEX</v>
      </c>
      <c r="I36" t="str" cm="1">
        <f t="array" ref="I36">IFERROR(INDEX(Spreads!A:A,MATCH(1, (Spreads!E:E=G36)*(Spreads!C:C&gt;=F36), 0)),"---")</f>
        <v>---</v>
      </c>
      <c r="J36" s="40" t="str">
        <f>IFERROR(INDEX(Spreads!C:C, MATCH('CME Data'!I36,Spreads!A:A,0)),"---")</f>
        <v>---</v>
      </c>
      <c r="K36" s="40">
        <f t="shared" si="3"/>
        <v>47114</v>
      </c>
    </row>
    <row r="37" spans="1:11" x14ac:dyDescent="0.2">
      <c r="A37" s="18" t="s">
        <v>121</v>
      </c>
      <c r="B37" s="2">
        <v>42703</v>
      </c>
      <c r="C37" s="2">
        <v>47147</v>
      </c>
      <c r="D37" s="2">
        <v>47147</v>
      </c>
      <c r="E37" s="37" t="s">
        <v>422</v>
      </c>
      <c r="F37" s="2">
        <f t="shared" si="1"/>
        <v>47147</v>
      </c>
      <c r="G37" t="str">
        <f t="shared" si="2"/>
        <v>NG</v>
      </c>
      <c r="H37" s="35" t="str">
        <f t="shared" si="0"/>
        <v>NYMEX</v>
      </c>
      <c r="I37" t="str" cm="1">
        <f t="array" ref="I37">IFERROR(INDEX(Spreads!A:A,MATCH(1, (Spreads!E:E=G37)*(Spreads!C:C&gt;=F37), 0)),"---")</f>
        <v>---</v>
      </c>
      <c r="J37" s="40" t="str">
        <f>IFERROR(INDEX(Spreads!C:C, MATCH('CME Data'!I37,Spreads!A:A,0)),"---")</f>
        <v>---</v>
      </c>
      <c r="K37" s="40">
        <f t="shared" si="3"/>
        <v>47147</v>
      </c>
    </row>
    <row r="38" spans="1:11" x14ac:dyDescent="0.2">
      <c r="A38" s="18" t="s">
        <v>122</v>
      </c>
      <c r="B38" s="2">
        <v>42703</v>
      </c>
      <c r="C38" s="2">
        <v>47175</v>
      </c>
      <c r="D38" s="2">
        <v>47175</v>
      </c>
      <c r="E38" s="37" t="s">
        <v>422</v>
      </c>
      <c r="F38" s="2">
        <f t="shared" si="1"/>
        <v>47175</v>
      </c>
      <c r="G38" t="str">
        <f t="shared" si="2"/>
        <v>NG</v>
      </c>
      <c r="H38" s="35" t="str">
        <f t="shared" si="0"/>
        <v>NYMEX</v>
      </c>
      <c r="I38" t="str" cm="1">
        <f t="array" ref="I38">IFERROR(INDEX(Spreads!A:A,MATCH(1, (Spreads!E:E=G38)*(Spreads!C:C&gt;=F38), 0)),"---")</f>
        <v>---</v>
      </c>
      <c r="J38" s="40" t="str">
        <f>IFERROR(INDEX(Spreads!C:C, MATCH('CME Data'!I38,Spreads!A:A,0)),"---")</f>
        <v>---</v>
      </c>
      <c r="K38" s="40">
        <f t="shared" si="3"/>
        <v>47175</v>
      </c>
    </row>
    <row r="39" spans="1:11" x14ac:dyDescent="0.2">
      <c r="A39" s="18" t="s">
        <v>123</v>
      </c>
      <c r="B39" s="2">
        <v>42703</v>
      </c>
      <c r="C39" s="2">
        <v>47204</v>
      </c>
      <c r="D39" s="2">
        <v>47204</v>
      </c>
      <c r="E39" s="37" t="s">
        <v>422</v>
      </c>
      <c r="F39" s="2">
        <f t="shared" si="1"/>
        <v>47204</v>
      </c>
      <c r="G39" t="str">
        <f t="shared" si="2"/>
        <v>NG</v>
      </c>
      <c r="H39" s="35" t="str">
        <f t="shared" si="0"/>
        <v>NYMEX</v>
      </c>
      <c r="I39" t="str" cm="1">
        <f t="array" ref="I39">IFERROR(INDEX(Spreads!A:A,MATCH(1, (Spreads!E:E=G39)*(Spreads!C:C&gt;=F39), 0)),"---")</f>
        <v>---</v>
      </c>
      <c r="J39" s="40" t="str">
        <f>IFERROR(INDEX(Spreads!C:C, MATCH('CME Data'!I39,Spreads!A:A,0)),"---")</f>
        <v>---</v>
      </c>
      <c r="K39" s="40">
        <f t="shared" si="3"/>
        <v>47204</v>
      </c>
    </row>
    <row r="40" spans="1:11" x14ac:dyDescent="0.2">
      <c r="A40" s="18" t="s">
        <v>124</v>
      </c>
      <c r="B40" s="2">
        <v>42703</v>
      </c>
      <c r="C40" s="2">
        <v>47234</v>
      </c>
      <c r="D40" s="2">
        <v>47234</v>
      </c>
      <c r="E40" s="37" t="s">
        <v>422</v>
      </c>
      <c r="F40" s="2">
        <f t="shared" si="1"/>
        <v>47234</v>
      </c>
      <c r="G40" t="str">
        <f t="shared" si="2"/>
        <v>NG</v>
      </c>
      <c r="H40" s="35" t="str">
        <f t="shared" si="0"/>
        <v>NYMEX</v>
      </c>
      <c r="I40" t="str" cm="1">
        <f t="array" ref="I40">IFERROR(INDEX(Spreads!A:A,MATCH(1, (Spreads!E:E=G40)*(Spreads!C:C&gt;=F40), 0)),"---")</f>
        <v>---</v>
      </c>
      <c r="J40" s="40" t="str">
        <f>IFERROR(INDEX(Spreads!C:C, MATCH('CME Data'!I40,Spreads!A:A,0)),"---")</f>
        <v>---</v>
      </c>
      <c r="K40" s="40">
        <f t="shared" si="3"/>
        <v>47234</v>
      </c>
    </row>
    <row r="41" spans="1:11" x14ac:dyDescent="0.2">
      <c r="A41" s="18" t="s">
        <v>125</v>
      </c>
      <c r="B41" s="2">
        <v>42703</v>
      </c>
      <c r="C41" s="2">
        <v>47267</v>
      </c>
      <c r="D41" s="2">
        <v>47267</v>
      </c>
      <c r="E41" s="37" t="s">
        <v>422</v>
      </c>
      <c r="F41" s="2">
        <f t="shared" si="1"/>
        <v>47267</v>
      </c>
      <c r="G41" t="str">
        <f t="shared" si="2"/>
        <v>NG</v>
      </c>
      <c r="H41" s="35" t="str">
        <f t="shared" si="0"/>
        <v>NYMEX</v>
      </c>
      <c r="I41" t="str" cm="1">
        <f t="array" ref="I41">IFERROR(INDEX(Spreads!A:A,MATCH(1, (Spreads!E:E=G41)*(Spreads!C:C&gt;=F41), 0)),"---")</f>
        <v>---</v>
      </c>
      <c r="J41" s="40" t="str">
        <f>IFERROR(INDEX(Spreads!C:C, MATCH('CME Data'!I41,Spreads!A:A,0)),"---")</f>
        <v>---</v>
      </c>
      <c r="K41" s="40">
        <f t="shared" si="3"/>
        <v>47267</v>
      </c>
    </row>
    <row r="42" spans="1:11" x14ac:dyDescent="0.2">
      <c r="A42" s="18" t="s">
        <v>126</v>
      </c>
      <c r="B42" s="2">
        <v>42703</v>
      </c>
      <c r="C42" s="2">
        <v>47296</v>
      </c>
      <c r="D42" s="2">
        <v>47296</v>
      </c>
      <c r="E42" s="37" t="s">
        <v>422</v>
      </c>
      <c r="F42" s="2">
        <f t="shared" si="1"/>
        <v>47296</v>
      </c>
      <c r="G42" t="str">
        <f t="shared" si="2"/>
        <v>NG</v>
      </c>
      <c r="H42" s="35" t="str">
        <f t="shared" si="0"/>
        <v>NYMEX</v>
      </c>
      <c r="I42" t="str" cm="1">
        <f t="array" ref="I42">IFERROR(INDEX(Spreads!A:A,MATCH(1, (Spreads!E:E=G42)*(Spreads!C:C&gt;=F42), 0)),"---")</f>
        <v>---</v>
      </c>
      <c r="J42" s="40" t="str">
        <f>IFERROR(INDEX(Spreads!C:C, MATCH('CME Data'!I42,Spreads!A:A,0)),"---")</f>
        <v>---</v>
      </c>
      <c r="K42" s="40">
        <f t="shared" si="3"/>
        <v>47296</v>
      </c>
    </row>
    <row r="43" spans="1:11" x14ac:dyDescent="0.2">
      <c r="A43" s="18" t="s">
        <v>127</v>
      </c>
      <c r="B43" s="2">
        <v>42703</v>
      </c>
      <c r="C43" s="2">
        <v>47326</v>
      </c>
      <c r="D43" s="2">
        <v>47326</v>
      </c>
      <c r="E43" s="37" t="s">
        <v>422</v>
      </c>
      <c r="F43" s="2">
        <f t="shared" si="1"/>
        <v>47326</v>
      </c>
      <c r="G43" t="str">
        <f t="shared" si="2"/>
        <v>NG</v>
      </c>
      <c r="H43" s="35" t="str">
        <f t="shared" si="0"/>
        <v>NYMEX</v>
      </c>
      <c r="I43" t="str" cm="1">
        <f t="array" ref="I43">IFERROR(INDEX(Spreads!A:A,MATCH(1, (Spreads!E:E=G43)*(Spreads!C:C&gt;=F43), 0)),"---")</f>
        <v>---</v>
      </c>
      <c r="J43" s="40" t="str">
        <f>IFERROR(INDEX(Spreads!C:C, MATCH('CME Data'!I43,Spreads!A:A,0)),"---")</f>
        <v>---</v>
      </c>
      <c r="K43" s="40">
        <f t="shared" si="3"/>
        <v>47326</v>
      </c>
    </row>
    <row r="44" spans="1:11" x14ac:dyDescent="0.2">
      <c r="A44" s="18" t="s">
        <v>128</v>
      </c>
      <c r="B44" s="2">
        <v>42703</v>
      </c>
      <c r="C44" s="2">
        <v>47359</v>
      </c>
      <c r="D44" s="2">
        <v>47359</v>
      </c>
      <c r="E44" s="37" t="s">
        <v>422</v>
      </c>
      <c r="F44" s="2">
        <f t="shared" si="1"/>
        <v>47359</v>
      </c>
      <c r="G44" t="str">
        <f t="shared" si="2"/>
        <v>NG</v>
      </c>
      <c r="H44" s="35" t="str">
        <f t="shared" si="0"/>
        <v>NYMEX</v>
      </c>
      <c r="I44" t="str" cm="1">
        <f t="array" ref="I44">IFERROR(INDEX(Spreads!A:A,MATCH(1, (Spreads!E:E=G44)*(Spreads!C:C&gt;=F44), 0)),"---")</f>
        <v>---</v>
      </c>
      <c r="J44" s="40" t="str">
        <f>IFERROR(INDEX(Spreads!C:C, MATCH('CME Data'!I44,Spreads!A:A,0)),"---")</f>
        <v>---</v>
      </c>
      <c r="K44" s="40">
        <f t="shared" si="3"/>
        <v>47359</v>
      </c>
    </row>
    <row r="45" spans="1:11" x14ac:dyDescent="0.2">
      <c r="A45" s="18" t="s">
        <v>129</v>
      </c>
      <c r="B45" s="2">
        <v>42703</v>
      </c>
      <c r="C45" s="2">
        <v>47387</v>
      </c>
      <c r="D45" s="2">
        <v>47387</v>
      </c>
      <c r="E45" s="37" t="s">
        <v>422</v>
      </c>
      <c r="F45" s="2">
        <f t="shared" si="1"/>
        <v>47387</v>
      </c>
      <c r="G45" t="str">
        <f t="shared" si="2"/>
        <v>NG</v>
      </c>
      <c r="H45" s="35" t="str">
        <f t="shared" si="0"/>
        <v>NYMEX</v>
      </c>
      <c r="I45" t="str" cm="1">
        <f t="array" ref="I45">IFERROR(INDEX(Spreads!A:A,MATCH(1, (Spreads!E:E=G45)*(Spreads!C:C&gt;=F45), 0)),"---")</f>
        <v>---</v>
      </c>
      <c r="J45" s="40" t="str">
        <f>IFERROR(INDEX(Spreads!C:C, MATCH('CME Data'!I45,Spreads!A:A,0)),"---")</f>
        <v>---</v>
      </c>
      <c r="K45" s="40">
        <f t="shared" si="3"/>
        <v>47387</v>
      </c>
    </row>
    <row r="46" spans="1:11" x14ac:dyDescent="0.2">
      <c r="A46" s="18" t="s">
        <v>130</v>
      </c>
      <c r="B46" s="2">
        <v>42703</v>
      </c>
      <c r="C46" s="2">
        <v>47420</v>
      </c>
      <c r="D46" s="2">
        <v>47420</v>
      </c>
      <c r="E46" s="37" t="s">
        <v>422</v>
      </c>
      <c r="F46" s="2">
        <f t="shared" si="1"/>
        <v>47420</v>
      </c>
      <c r="G46" t="str">
        <f t="shared" si="2"/>
        <v>NG</v>
      </c>
      <c r="H46" s="35" t="str">
        <f t="shared" si="0"/>
        <v>NYMEX</v>
      </c>
      <c r="I46" t="str" cm="1">
        <f t="array" ref="I46">IFERROR(INDEX(Spreads!A:A,MATCH(1, (Spreads!E:E=G46)*(Spreads!C:C&gt;=F46), 0)),"---")</f>
        <v>---</v>
      </c>
      <c r="J46" s="40" t="str">
        <f>IFERROR(INDEX(Spreads!C:C, MATCH('CME Data'!I46,Spreads!A:A,0)),"---")</f>
        <v>---</v>
      </c>
      <c r="K46" s="40">
        <f t="shared" si="3"/>
        <v>47420</v>
      </c>
    </row>
    <row r="47" spans="1:11" x14ac:dyDescent="0.2">
      <c r="A47" s="18" t="s">
        <v>131</v>
      </c>
      <c r="B47" s="2">
        <v>42703</v>
      </c>
      <c r="C47" s="2">
        <v>47450</v>
      </c>
      <c r="D47" s="2">
        <v>47450</v>
      </c>
      <c r="E47" s="37" t="s">
        <v>422</v>
      </c>
      <c r="F47" s="2">
        <f t="shared" si="1"/>
        <v>47450</v>
      </c>
      <c r="G47" t="str">
        <f t="shared" si="2"/>
        <v>NG</v>
      </c>
      <c r="H47" s="35" t="str">
        <f t="shared" si="0"/>
        <v>NYMEX</v>
      </c>
      <c r="I47" t="str" cm="1">
        <f t="array" ref="I47">IFERROR(INDEX(Spreads!A:A,MATCH(1, (Spreads!E:E=G47)*(Spreads!C:C&gt;=F47), 0)),"---")</f>
        <v>---</v>
      </c>
      <c r="J47" s="40" t="str">
        <f>IFERROR(INDEX(Spreads!C:C, MATCH('CME Data'!I47,Spreads!A:A,0)),"---")</f>
        <v>---</v>
      </c>
      <c r="K47" s="40">
        <f t="shared" si="3"/>
        <v>47450</v>
      </c>
    </row>
    <row r="48" spans="1:11" x14ac:dyDescent="0.2">
      <c r="A48" s="18" t="s">
        <v>132</v>
      </c>
      <c r="B48" s="2">
        <v>43068</v>
      </c>
      <c r="C48" s="2">
        <v>47479</v>
      </c>
      <c r="D48" s="2">
        <v>47479</v>
      </c>
      <c r="E48" s="37" t="s">
        <v>422</v>
      </c>
      <c r="F48" s="2">
        <f t="shared" si="1"/>
        <v>47479</v>
      </c>
      <c r="G48" t="str">
        <f t="shared" si="2"/>
        <v>NG</v>
      </c>
      <c r="H48" s="35" t="str">
        <f t="shared" si="0"/>
        <v>NYMEX</v>
      </c>
      <c r="I48" t="str" cm="1">
        <f t="array" ref="I48">IFERROR(INDEX(Spreads!A:A,MATCH(1, (Spreads!E:E=G48)*(Spreads!C:C&gt;=F48), 0)),"---")</f>
        <v>---</v>
      </c>
      <c r="J48" s="40" t="str">
        <f>IFERROR(INDEX(Spreads!C:C, MATCH('CME Data'!I48,Spreads!A:A,0)),"---")</f>
        <v>---</v>
      </c>
      <c r="K48" s="40">
        <f t="shared" si="3"/>
        <v>47479</v>
      </c>
    </row>
    <row r="49" spans="1:11" x14ac:dyDescent="0.2">
      <c r="A49" s="18" t="s">
        <v>133</v>
      </c>
      <c r="B49" s="2">
        <v>43068</v>
      </c>
      <c r="C49" s="2">
        <v>47512</v>
      </c>
      <c r="D49" s="2">
        <v>47512</v>
      </c>
      <c r="E49" s="37" t="s">
        <v>422</v>
      </c>
      <c r="F49" s="2">
        <f t="shared" si="1"/>
        <v>47512</v>
      </c>
      <c r="G49" t="str">
        <f t="shared" si="2"/>
        <v>NG</v>
      </c>
      <c r="H49" s="35" t="str">
        <f t="shared" si="0"/>
        <v>NYMEX</v>
      </c>
      <c r="I49" t="str" cm="1">
        <f t="array" ref="I49">IFERROR(INDEX(Spreads!A:A,MATCH(1, (Spreads!E:E=G49)*(Spreads!C:C&gt;=F49), 0)),"---")</f>
        <v>---</v>
      </c>
      <c r="J49" s="40" t="str">
        <f>IFERROR(INDEX(Spreads!C:C, MATCH('CME Data'!I49,Spreads!A:A,0)),"---")</f>
        <v>---</v>
      </c>
      <c r="K49" s="40">
        <f t="shared" si="3"/>
        <v>47512</v>
      </c>
    </row>
    <row r="50" spans="1:11" x14ac:dyDescent="0.2">
      <c r="A50" s="18" t="s">
        <v>134</v>
      </c>
      <c r="B50" s="2">
        <v>43068</v>
      </c>
      <c r="C50" s="2">
        <v>47540</v>
      </c>
      <c r="D50" s="2">
        <v>47540</v>
      </c>
      <c r="E50" s="37" t="s">
        <v>422</v>
      </c>
      <c r="F50" s="2">
        <f t="shared" si="1"/>
        <v>47540</v>
      </c>
      <c r="G50" t="str">
        <f t="shared" si="2"/>
        <v>NG</v>
      </c>
      <c r="H50" s="35" t="str">
        <f t="shared" si="0"/>
        <v>NYMEX</v>
      </c>
      <c r="I50" t="str" cm="1">
        <f t="array" ref="I50">IFERROR(INDEX(Spreads!A:A,MATCH(1, (Spreads!E:E=G50)*(Spreads!C:C&gt;=F50), 0)),"---")</f>
        <v>---</v>
      </c>
      <c r="J50" s="40" t="str">
        <f>IFERROR(INDEX(Spreads!C:C, MATCH('CME Data'!I50,Spreads!A:A,0)),"---")</f>
        <v>---</v>
      </c>
      <c r="K50" s="40">
        <f t="shared" si="3"/>
        <v>47540</v>
      </c>
    </row>
    <row r="51" spans="1:11" x14ac:dyDescent="0.2">
      <c r="A51" s="18" t="s">
        <v>135</v>
      </c>
      <c r="B51" s="2">
        <v>43068</v>
      </c>
      <c r="C51" s="2">
        <v>47569</v>
      </c>
      <c r="D51" s="2">
        <v>47569</v>
      </c>
      <c r="E51" s="37" t="s">
        <v>422</v>
      </c>
      <c r="F51" s="2">
        <f t="shared" si="1"/>
        <v>47569</v>
      </c>
      <c r="G51" t="str">
        <f t="shared" si="2"/>
        <v>NG</v>
      </c>
      <c r="H51" s="35" t="str">
        <f t="shared" si="0"/>
        <v>NYMEX</v>
      </c>
      <c r="I51" t="str" cm="1">
        <f t="array" ref="I51">IFERROR(INDEX(Spreads!A:A,MATCH(1, (Spreads!E:E=G51)*(Spreads!C:C&gt;=F51), 0)),"---")</f>
        <v>---</v>
      </c>
      <c r="J51" s="40" t="str">
        <f>IFERROR(INDEX(Spreads!C:C, MATCH('CME Data'!I51,Spreads!A:A,0)),"---")</f>
        <v>---</v>
      </c>
      <c r="K51" s="40">
        <f t="shared" si="3"/>
        <v>47569</v>
      </c>
    </row>
    <row r="52" spans="1:11" x14ac:dyDescent="0.2">
      <c r="A52" s="18" t="s">
        <v>136</v>
      </c>
      <c r="B52" s="2">
        <v>43068</v>
      </c>
      <c r="C52" s="2">
        <v>47599</v>
      </c>
      <c r="D52" s="2">
        <v>47599</v>
      </c>
      <c r="E52" s="37" t="s">
        <v>422</v>
      </c>
      <c r="F52" s="2">
        <f t="shared" si="1"/>
        <v>47599</v>
      </c>
      <c r="G52" t="str">
        <f t="shared" si="2"/>
        <v>NG</v>
      </c>
      <c r="H52" s="35" t="str">
        <f t="shared" si="0"/>
        <v>NYMEX</v>
      </c>
      <c r="I52" t="str" cm="1">
        <f t="array" ref="I52">IFERROR(INDEX(Spreads!A:A,MATCH(1, (Spreads!E:E=G52)*(Spreads!C:C&gt;=F52), 0)),"---")</f>
        <v>---</v>
      </c>
      <c r="J52" s="40" t="str">
        <f>IFERROR(INDEX(Spreads!C:C, MATCH('CME Data'!I52,Spreads!A:A,0)),"---")</f>
        <v>---</v>
      </c>
      <c r="K52" s="40">
        <f t="shared" si="3"/>
        <v>47599</v>
      </c>
    </row>
    <row r="53" spans="1:11" x14ac:dyDescent="0.2">
      <c r="A53" s="18" t="s">
        <v>137</v>
      </c>
      <c r="B53" s="2">
        <v>43068</v>
      </c>
      <c r="C53" s="2">
        <v>47632</v>
      </c>
      <c r="D53" s="2">
        <v>47632</v>
      </c>
      <c r="E53" s="37" t="s">
        <v>422</v>
      </c>
      <c r="F53" s="2">
        <f t="shared" si="1"/>
        <v>47632</v>
      </c>
      <c r="G53" t="str">
        <f t="shared" si="2"/>
        <v>NG</v>
      </c>
      <c r="H53" s="35" t="str">
        <f t="shared" si="0"/>
        <v>NYMEX</v>
      </c>
      <c r="I53" t="str" cm="1">
        <f t="array" ref="I53">IFERROR(INDEX(Spreads!A:A,MATCH(1, (Spreads!E:E=G53)*(Spreads!C:C&gt;=F53), 0)),"---")</f>
        <v>---</v>
      </c>
      <c r="J53" s="40" t="str">
        <f>IFERROR(INDEX(Spreads!C:C, MATCH('CME Data'!I53,Spreads!A:A,0)),"---")</f>
        <v>---</v>
      </c>
      <c r="K53" s="40">
        <f t="shared" si="3"/>
        <v>47632</v>
      </c>
    </row>
    <row r="54" spans="1:11" x14ac:dyDescent="0.2">
      <c r="A54" s="18" t="s">
        <v>138</v>
      </c>
      <c r="B54" s="2">
        <v>43068</v>
      </c>
      <c r="C54" s="2">
        <v>47660</v>
      </c>
      <c r="D54" s="2">
        <v>47660</v>
      </c>
      <c r="E54" s="37" t="s">
        <v>422</v>
      </c>
      <c r="F54" s="2">
        <f t="shared" si="1"/>
        <v>47660</v>
      </c>
      <c r="G54" t="str">
        <f t="shared" si="2"/>
        <v>NG</v>
      </c>
      <c r="H54" s="35" t="str">
        <f t="shared" si="0"/>
        <v>NYMEX</v>
      </c>
      <c r="I54" t="str" cm="1">
        <f t="array" ref="I54">IFERROR(INDEX(Spreads!A:A,MATCH(1, (Spreads!E:E=G54)*(Spreads!C:C&gt;=F54), 0)),"---")</f>
        <v>---</v>
      </c>
      <c r="J54" s="40" t="str">
        <f>IFERROR(INDEX(Spreads!C:C, MATCH('CME Data'!I54,Spreads!A:A,0)),"---")</f>
        <v>---</v>
      </c>
      <c r="K54" s="40">
        <f t="shared" si="3"/>
        <v>47660</v>
      </c>
    </row>
    <row r="55" spans="1:11" x14ac:dyDescent="0.2">
      <c r="A55" s="18" t="s">
        <v>139</v>
      </c>
      <c r="B55" s="2">
        <v>43068</v>
      </c>
      <c r="C55" s="2">
        <v>47693</v>
      </c>
      <c r="D55" s="2">
        <v>47693</v>
      </c>
      <c r="E55" s="37" t="s">
        <v>422</v>
      </c>
      <c r="F55" s="2">
        <f t="shared" si="1"/>
        <v>47693</v>
      </c>
      <c r="G55" t="str">
        <f t="shared" si="2"/>
        <v>NG</v>
      </c>
      <c r="H55" s="35" t="str">
        <f t="shared" si="0"/>
        <v>NYMEX</v>
      </c>
      <c r="I55" t="str" cm="1">
        <f t="array" ref="I55">IFERROR(INDEX(Spreads!A:A,MATCH(1, (Spreads!E:E=G55)*(Spreads!C:C&gt;=F55), 0)),"---")</f>
        <v>---</v>
      </c>
      <c r="J55" s="40" t="str">
        <f>IFERROR(INDEX(Spreads!C:C, MATCH('CME Data'!I55,Spreads!A:A,0)),"---")</f>
        <v>---</v>
      </c>
      <c r="K55" s="40">
        <f t="shared" si="3"/>
        <v>47693</v>
      </c>
    </row>
    <row r="56" spans="1:11" x14ac:dyDescent="0.2">
      <c r="A56" s="18" t="s">
        <v>140</v>
      </c>
      <c r="B56" s="2">
        <v>43068</v>
      </c>
      <c r="C56" s="2">
        <v>47723</v>
      </c>
      <c r="D56" s="2">
        <v>47723</v>
      </c>
      <c r="E56" s="37" t="s">
        <v>422</v>
      </c>
      <c r="F56" s="2">
        <f t="shared" si="1"/>
        <v>47723</v>
      </c>
      <c r="G56" t="str">
        <f t="shared" si="2"/>
        <v>NG</v>
      </c>
      <c r="H56" s="35" t="str">
        <f t="shared" si="0"/>
        <v>NYMEX</v>
      </c>
      <c r="I56" t="str" cm="1">
        <f t="array" ref="I56">IFERROR(INDEX(Spreads!A:A,MATCH(1, (Spreads!E:E=G56)*(Spreads!C:C&gt;=F56), 0)),"---")</f>
        <v>---</v>
      </c>
      <c r="J56" s="40" t="str">
        <f>IFERROR(INDEX(Spreads!C:C, MATCH('CME Data'!I56,Spreads!A:A,0)),"---")</f>
        <v>---</v>
      </c>
      <c r="K56" s="40">
        <f t="shared" si="3"/>
        <v>47723</v>
      </c>
    </row>
    <row r="57" spans="1:11" x14ac:dyDescent="0.2">
      <c r="A57" s="18" t="s">
        <v>141</v>
      </c>
      <c r="B57" s="2">
        <v>43068</v>
      </c>
      <c r="C57" s="2">
        <v>47752</v>
      </c>
      <c r="D57" s="2">
        <v>47752</v>
      </c>
      <c r="E57" s="37" t="s">
        <v>422</v>
      </c>
      <c r="F57" s="2">
        <f t="shared" si="1"/>
        <v>47752</v>
      </c>
      <c r="G57" t="str">
        <f t="shared" si="2"/>
        <v>NG</v>
      </c>
      <c r="H57" s="35" t="str">
        <f t="shared" si="0"/>
        <v>NYMEX</v>
      </c>
      <c r="I57" t="str" cm="1">
        <f t="array" ref="I57">IFERROR(INDEX(Spreads!A:A,MATCH(1, (Spreads!E:E=G57)*(Spreads!C:C&gt;=F57), 0)),"---")</f>
        <v>---</v>
      </c>
      <c r="J57" s="40" t="str">
        <f>IFERROR(INDEX(Spreads!C:C, MATCH('CME Data'!I57,Spreads!A:A,0)),"---")</f>
        <v>---</v>
      </c>
      <c r="K57" s="40">
        <f t="shared" si="3"/>
        <v>47752</v>
      </c>
    </row>
    <row r="58" spans="1:11" x14ac:dyDescent="0.2">
      <c r="A58" s="18" t="s">
        <v>142</v>
      </c>
      <c r="B58" s="2">
        <v>43068</v>
      </c>
      <c r="C58" s="2">
        <v>47785</v>
      </c>
      <c r="D58" s="2">
        <v>47785</v>
      </c>
      <c r="E58" s="37" t="s">
        <v>422</v>
      </c>
      <c r="F58" s="2">
        <f t="shared" si="1"/>
        <v>47785</v>
      </c>
      <c r="G58" t="str">
        <f t="shared" si="2"/>
        <v>NG</v>
      </c>
      <c r="H58" s="35" t="str">
        <f t="shared" si="0"/>
        <v>NYMEX</v>
      </c>
      <c r="I58" t="str" cm="1">
        <f t="array" ref="I58">IFERROR(INDEX(Spreads!A:A,MATCH(1, (Spreads!E:E=G58)*(Spreads!C:C&gt;=F58), 0)),"---")</f>
        <v>---</v>
      </c>
      <c r="J58" s="40" t="str">
        <f>IFERROR(INDEX(Spreads!C:C, MATCH('CME Data'!I58,Spreads!A:A,0)),"---")</f>
        <v>---</v>
      </c>
      <c r="K58" s="40">
        <f t="shared" si="3"/>
        <v>47785</v>
      </c>
    </row>
    <row r="59" spans="1:11" x14ac:dyDescent="0.2">
      <c r="A59" s="18" t="s">
        <v>143</v>
      </c>
      <c r="B59" s="2">
        <v>43068</v>
      </c>
      <c r="C59" s="2">
        <v>47813</v>
      </c>
      <c r="D59" s="2">
        <v>47813</v>
      </c>
      <c r="E59" s="37" t="s">
        <v>422</v>
      </c>
      <c r="F59" s="2">
        <f t="shared" si="1"/>
        <v>47813</v>
      </c>
      <c r="G59" t="str">
        <f t="shared" si="2"/>
        <v>NG</v>
      </c>
      <c r="H59" s="35" t="str">
        <f t="shared" si="0"/>
        <v>NYMEX</v>
      </c>
      <c r="I59" t="str" cm="1">
        <f t="array" ref="I59">IFERROR(INDEX(Spreads!A:A,MATCH(1, (Spreads!E:E=G59)*(Spreads!C:C&gt;=F59), 0)),"---")</f>
        <v>---</v>
      </c>
      <c r="J59" s="40" t="str">
        <f>IFERROR(INDEX(Spreads!C:C, MATCH('CME Data'!I59,Spreads!A:A,0)),"---")</f>
        <v>---</v>
      </c>
      <c r="K59" s="40">
        <f t="shared" si="3"/>
        <v>47813</v>
      </c>
    </row>
    <row r="60" spans="1:11" x14ac:dyDescent="0.2">
      <c r="A60" s="18" t="s">
        <v>144</v>
      </c>
      <c r="B60" s="2">
        <v>43433</v>
      </c>
      <c r="C60" s="2">
        <v>47844</v>
      </c>
      <c r="D60" s="2">
        <v>47844</v>
      </c>
      <c r="E60" s="37" t="s">
        <v>422</v>
      </c>
      <c r="F60" s="2">
        <f t="shared" si="1"/>
        <v>47844</v>
      </c>
      <c r="G60" t="str">
        <f t="shared" si="2"/>
        <v>NG</v>
      </c>
      <c r="H60" s="35" t="str">
        <f t="shared" si="0"/>
        <v>NYMEX</v>
      </c>
      <c r="I60" t="str" cm="1">
        <f t="array" ref="I60">IFERROR(INDEX(Spreads!A:A,MATCH(1, (Spreads!E:E=G60)*(Spreads!C:C&gt;=F60), 0)),"---")</f>
        <v>---</v>
      </c>
      <c r="J60" s="40" t="str">
        <f>IFERROR(INDEX(Spreads!C:C, MATCH('CME Data'!I60,Spreads!A:A,0)),"---")</f>
        <v>---</v>
      </c>
      <c r="K60" s="40">
        <f t="shared" si="3"/>
        <v>47844</v>
      </c>
    </row>
    <row r="61" spans="1:11" x14ac:dyDescent="0.2">
      <c r="A61" s="18" t="s">
        <v>145</v>
      </c>
      <c r="B61" s="2">
        <v>43433</v>
      </c>
      <c r="C61" s="2">
        <v>47877</v>
      </c>
      <c r="D61" s="2">
        <v>47877</v>
      </c>
      <c r="E61" s="37" t="s">
        <v>422</v>
      </c>
      <c r="F61" s="2">
        <f t="shared" si="1"/>
        <v>47877</v>
      </c>
      <c r="G61" t="str">
        <f t="shared" si="2"/>
        <v>NG</v>
      </c>
      <c r="H61" s="35" t="str">
        <f t="shared" si="0"/>
        <v>NYMEX</v>
      </c>
      <c r="I61" t="str" cm="1">
        <f t="array" ref="I61">IFERROR(INDEX(Spreads!A:A,MATCH(1, (Spreads!E:E=G61)*(Spreads!C:C&gt;=F61), 0)),"---")</f>
        <v>---</v>
      </c>
      <c r="J61" s="40" t="str">
        <f>IFERROR(INDEX(Spreads!C:C, MATCH('CME Data'!I61,Spreads!A:A,0)),"---")</f>
        <v>---</v>
      </c>
      <c r="K61" s="40">
        <f t="shared" si="3"/>
        <v>47877</v>
      </c>
    </row>
    <row r="62" spans="1:11" x14ac:dyDescent="0.2">
      <c r="A62" s="18" t="s">
        <v>146</v>
      </c>
      <c r="B62" s="2">
        <v>43433</v>
      </c>
      <c r="C62" s="2">
        <v>47905</v>
      </c>
      <c r="D62" s="2">
        <v>47905</v>
      </c>
      <c r="E62" s="37" t="s">
        <v>422</v>
      </c>
      <c r="F62" s="2">
        <f t="shared" si="1"/>
        <v>47905</v>
      </c>
      <c r="G62" t="str">
        <f t="shared" si="2"/>
        <v>NG</v>
      </c>
      <c r="H62" s="35" t="str">
        <f t="shared" si="0"/>
        <v>NYMEX</v>
      </c>
      <c r="I62" t="str" cm="1">
        <f t="array" ref="I62">IFERROR(INDEX(Spreads!A:A,MATCH(1, (Spreads!E:E=G62)*(Spreads!C:C&gt;=F62), 0)),"---")</f>
        <v>---</v>
      </c>
      <c r="J62" s="40" t="str">
        <f>IFERROR(INDEX(Spreads!C:C, MATCH('CME Data'!I62,Spreads!A:A,0)),"---")</f>
        <v>---</v>
      </c>
      <c r="K62" s="40">
        <f t="shared" si="3"/>
        <v>47905</v>
      </c>
    </row>
    <row r="63" spans="1:11" x14ac:dyDescent="0.2">
      <c r="A63" s="18" t="s">
        <v>147</v>
      </c>
      <c r="B63" s="2">
        <v>43433</v>
      </c>
      <c r="C63" s="2">
        <v>47934</v>
      </c>
      <c r="D63" s="2">
        <v>47934</v>
      </c>
      <c r="E63" s="37" t="s">
        <v>422</v>
      </c>
      <c r="F63" s="2">
        <f t="shared" si="1"/>
        <v>47934</v>
      </c>
      <c r="G63" t="str">
        <f t="shared" si="2"/>
        <v>NG</v>
      </c>
      <c r="H63" s="35" t="str">
        <f t="shared" si="0"/>
        <v>NYMEX</v>
      </c>
      <c r="I63" t="str" cm="1">
        <f t="array" ref="I63">IFERROR(INDEX(Spreads!A:A,MATCH(1, (Spreads!E:E=G63)*(Spreads!C:C&gt;=F63), 0)),"---")</f>
        <v>---</v>
      </c>
      <c r="J63" s="40" t="str">
        <f>IFERROR(INDEX(Spreads!C:C, MATCH('CME Data'!I63,Spreads!A:A,0)),"---")</f>
        <v>---</v>
      </c>
      <c r="K63" s="40">
        <f t="shared" si="3"/>
        <v>47934</v>
      </c>
    </row>
    <row r="64" spans="1:11" x14ac:dyDescent="0.2">
      <c r="A64" s="18" t="s">
        <v>148</v>
      </c>
      <c r="B64" s="2">
        <v>43433</v>
      </c>
      <c r="C64" s="2">
        <v>47966</v>
      </c>
      <c r="D64" s="2">
        <v>47966</v>
      </c>
      <c r="E64" s="37" t="s">
        <v>422</v>
      </c>
      <c r="F64" s="2">
        <f t="shared" si="1"/>
        <v>47966</v>
      </c>
      <c r="G64" t="str">
        <f t="shared" si="2"/>
        <v>NG</v>
      </c>
      <c r="H64" s="35" t="str">
        <f t="shared" si="0"/>
        <v>NYMEX</v>
      </c>
      <c r="I64" t="str" cm="1">
        <f t="array" ref="I64">IFERROR(INDEX(Spreads!A:A,MATCH(1, (Spreads!E:E=G64)*(Spreads!C:C&gt;=F64), 0)),"---")</f>
        <v>---</v>
      </c>
      <c r="J64" s="40" t="str">
        <f>IFERROR(INDEX(Spreads!C:C, MATCH('CME Data'!I64,Spreads!A:A,0)),"---")</f>
        <v>---</v>
      </c>
      <c r="K64" s="40">
        <f t="shared" si="3"/>
        <v>47966</v>
      </c>
    </row>
    <row r="65" spans="1:11" x14ac:dyDescent="0.2">
      <c r="A65" s="18" t="s">
        <v>149</v>
      </c>
      <c r="B65" s="2">
        <v>43433</v>
      </c>
      <c r="C65" s="2">
        <v>47996</v>
      </c>
      <c r="D65" s="2">
        <v>47996</v>
      </c>
      <c r="E65" s="37" t="s">
        <v>422</v>
      </c>
      <c r="F65" s="2">
        <f t="shared" si="1"/>
        <v>47996</v>
      </c>
      <c r="G65" t="str">
        <f t="shared" si="2"/>
        <v>NG</v>
      </c>
      <c r="H65" s="35" t="str">
        <f t="shared" si="0"/>
        <v>NYMEX</v>
      </c>
      <c r="I65" t="str" cm="1">
        <f t="array" ref="I65">IFERROR(INDEX(Spreads!A:A,MATCH(1, (Spreads!E:E=G65)*(Spreads!C:C&gt;=F65), 0)),"---")</f>
        <v>---</v>
      </c>
      <c r="J65" s="40" t="str">
        <f>IFERROR(INDEX(Spreads!C:C, MATCH('CME Data'!I65,Spreads!A:A,0)),"---")</f>
        <v>---</v>
      </c>
      <c r="K65" s="40">
        <f t="shared" si="3"/>
        <v>47996</v>
      </c>
    </row>
    <row r="66" spans="1:11" x14ac:dyDescent="0.2">
      <c r="A66" s="18" t="s">
        <v>150</v>
      </c>
      <c r="B66" s="2">
        <v>43433</v>
      </c>
      <c r="C66" s="2">
        <v>48025</v>
      </c>
      <c r="D66" s="2">
        <v>48025</v>
      </c>
      <c r="E66" s="37" t="s">
        <v>422</v>
      </c>
      <c r="F66" s="2">
        <f t="shared" si="1"/>
        <v>48025</v>
      </c>
      <c r="G66" t="str">
        <f t="shared" si="2"/>
        <v>NG</v>
      </c>
      <c r="H66" s="35" t="str">
        <f t="shared" si="0"/>
        <v>NYMEX</v>
      </c>
      <c r="I66" t="str" cm="1">
        <f t="array" ref="I66">IFERROR(INDEX(Spreads!A:A,MATCH(1, (Spreads!E:E=G66)*(Spreads!C:C&gt;=F66), 0)),"---")</f>
        <v>---</v>
      </c>
      <c r="J66" s="40" t="str">
        <f>IFERROR(INDEX(Spreads!C:C, MATCH('CME Data'!I66,Spreads!A:A,0)),"---")</f>
        <v>---</v>
      </c>
      <c r="K66" s="40">
        <f t="shared" si="3"/>
        <v>48025</v>
      </c>
    </row>
    <row r="67" spans="1:11" x14ac:dyDescent="0.2">
      <c r="A67" s="18" t="s">
        <v>151</v>
      </c>
      <c r="B67" s="2">
        <v>43433</v>
      </c>
      <c r="C67" s="2">
        <v>48058</v>
      </c>
      <c r="D67" s="2">
        <v>48058</v>
      </c>
      <c r="E67" s="37" t="s">
        <v>422</v>
      </c>
      <c r="F67" s="2">
        <f t="shared" si="1"/>
        <v>48058</v>
      </c>
      <c r="G67" t="str">
        <f t="shared" si="2"/>
        <v>NG</v>
      </c>
      <c r="H67" s="35" t="str">
        <f t="shared" ref="H67:H130" si="4">IFERROR(INDEX(O:O, MATCH(G67,N:N,0)),"---")</f>
        <v>NYMEX</v>
      </c>
      <c r="I67" t="str" cm="1">
        <f t="array" ref="I67">IFERROR(INDEX(Spreads!A:A,MATCH(1, (Spreads!E:E=G67)*(Spreads!C:C&gt;=F67), 0)),"---")</f>
        <v>---</v>
      </c>
      <c r="J67" s="40" t="str">
        <f>IFERROR(INDEX(Spreads!C:C, MATCH('CME Data'!I67,Spreads!A:A,0)),"---")</f>
        <v>---</v>
      </c>
      <c r="K67" s="40">
        <f t="shared" si="3"/>
        <v>48058</v>
      </c>
    </row>
    <row r="68" spans="1:11" x14ac:dyDescent="0.2">
      <c r="A68" s="18" t="s">
        <v>152</v>
      </c>
      <c r="B68" s="2">
        <v>43433</v>
      </c>
      <c r="C68" s="2">
        <v>48087</v>
      </c>
      <c r="D68" s="2">
        <v>48087</v>
      </c>
      <c r="E68" s="37" t="s">
        <v>422</v>
      </c>
      <c r="F68" s="2">
        <f t="shared" ref="F68:F131" si="5">MIN(C68:E68)</f>
        <v>48087</v>
      </c>
      <c r="G68" t="str">
        <f t="shared" ref="G68:G131" si="6">MID(A68,1,LEN(A68)-3)</f>
        <v>NG</v>
      </c>
      <c r="H68" s="35" t="str">
        <f t="shared" si="4"/>
        <v>NYMEX</v>
      </c>
      <c r="I68" t="str" cm="1">
        <f t="array" ref="I68">IFERROR(INDEX(Spreads!A:A,MATCH(1, (Spreads!E:E=G68)*(Spreads!C:C&gt;=F68), 0)),"---")</f>
        <v>---</v>
      </c>
      <c r="J68" s="40" t="str">
        <f>IFERROR(INDEX(Spreads!C:C, MATCH('CME Data'!I68,Spreads!A:A,0)),"---")</f>
        <v>---</v>
      </c>
      <c r="K68" s="40">
        <f t="shared" ref="K68:K131" si="7">MIN(J68,F68)</f>
        <v>48087</v>
      </c>
    </row>
    <row r="69" spans="1:11" x14ac:dyDescent="0.2">
      <c r="A69" s="18" t="s">
        <v>153</v>
      </c>
      <c r="B69" s="2">
        <v>43433</v>
      </c>
      <c r="C69" s="2">
        <v>48117</v>
      </c>
      <c r="D69" s="2">
        <v>48117</v>
      </c>
      <c r="E69" s="37" t="s">
        <v>422</v>
      </c>
      <c r="F69" s="2">
        <f t="shared" si="5"/>
        <v>48117</v>
      </c>
      <c r="G69" t="str">
        <f t="shared" si="6"/>
        <v>NG</v>
      </c>
      <c r="H69" s="35" t="str">
        <f t="shared" si="4"/>
        <v>NYMEX</v>
      </c>
      <c r="I69" t="str" cm="1">
        <f t="array" ref="I69">IFERROR(INDEX(Spreads!A:A,MATCH(1, (Spreads!E:E=G69)*(Spreads!C:C&gt;=F69), 0)),"---")</f>
        <v>---</v>
      </c>
      <c r="J69" s="40" t="str">
        <f>IFERROR(INDEX(Spreads!C:C, MATCH('CME Data'!I69,Spreads!A:A,0)),"---")</f>
        <v>---</v>
      </c>
      <c r="K69" s="40">
        <f t="shared" si="7"/>
        <v>48117</v>
      </c>
    </row>
    <row r="70" spans="1:11" x14ac:dyDescent="0.2">
      <c r="A70" s="18" t="s">
        <v>154</v>
      </c>
      <c r="B70" s="2">
        <v>43433</v>
      </c>
      <c r="C70" s="2">
        <v>48150</v>
      </c>
      <c r="D70" s="2">
        <v>48150</v>
      </c>
      <c r="E70" s="37" t="s">
        <v>422</v>
      </c>
      <c r="F70" s="2">
        <f t="shared" si="5"/>
        <v>48150</v>
      </c>
      <c r="G70" t="str">
        <f t="shared" si="6"/>
        <v>NG</v>
      </c>
      <c r="H70" s="35" t="str">
        <f t="shared" si="4"/>
        <v>NYMEX</v>
      </c>
      <c r="I70" t="str" cm="1">
        <f t="array" ref="I70">IFERROR(INDEX(Spreads!A:A,MATCH(1, (Spreads!E:E=G70)*(Spreads!C:C&gt;=F70), 0)),"---")</f>
        <v>---</v>
      </c>
      <c r="J70" s="40" t="str">
        <f>IFERROR(INDEX(Spreads!C:C, MATCH('CME Data'!I70,Spreads!A:A,0)),"---")</f>
        <v>---</v>
      </c>
      <c r="K70" s="40">
        <f t="shared" si="7"/>
        <v>48150</v>
      </c>
    </row>
    <row r="71" spans="1:11" x14ac:dyDescent="0.2">
      <c r="A71" s="18" t="s">
        <v>155</v>
      </c>
      <c r="B71" s="2">
        <v>43433</v>
      </c>
      <c r="C71" s="2">
        <v>48177</v>
      </c>
      <c r="D71" s="2">
        <v>48177</v>
      </c>
      <c r="E71" s="37" t="s">
        <v>422</v>
      </c>
      <c r="F71" s="2">
        <f t="shared" si="5"/>
        <v>48177</v>
      </c>
      <c r="G71" t="str">
        <f t="shared" si="6"/>
        <v>NG</v>
      </c>
      <c r="H71" s="35" t="str">
        <f t="shared" si="4"/>
        <v>NYMEX</v>
      </c>
      <c r="I71" t="str" cm="1">
        <f t="array" ref="I71">IFERROR(INDEX(Spreads!A:A,MATCH(1, (Spreads!E:E=G71)*(Spreads!C:C&gt;=F71), 0)),"---")</f>
        <v>---</v>
      </c>
      <c r="J71" s="40" t="str">
        <f>IFERROR(INDEX(Spreads!C:C, MATCH('CME Data'!I71,Spreads!A:A,0)),"---")</f>
        <v>---</v>
      </c>
      <c r="K71" s="40">
        <f t="shared" si="7"/>
        <v>48177</v>
      </c>
    </row>
    <row r="72" spans="1:11" x14ac:dyDescent="0.2">
      <c r="A72" s="18" t="s">
        <v>156</v>
      </c>
      <c r="B72" s="2">
        <v>43796</v>
      </c>
      <c r="C72" s="2">
        <v>48211</v>
      </c>
      <c r="D72" s="2">
        <v>48211</v>
      </c>
      <c r="E72" s="37" t="s">
        <v>422</v>
      </c>
      <c r="F72" s="2">
        <f t="shared" si="5"/>
        <v>48211</v>
      </c>
      <c r="G72" t="str">
        <f t="shared" si="6"/>
        <v>NG</v>
      </c>
      <c r="H72" s="35" t="str">
        <f t="shared" si="4"/>
        <v>NYMEX</v>
      </c>
      <c r="I72" t="str" cm="1">
        <f t="array" ref="I72">IFERROR(INDEX(Spreads!A:A,MATCH(1, (Spreads!E:E=G72)*(Spreads!C:C&gt;=F72), 0)),"---")</f>
        <v>---</v>
      </c>
      <c r="J72" s="40" t="str">
        <f>IFERROR(INDEX(Spreads!C:C, MATCH('CME Data'!I72,Spreads!A:A,0)),"---")</f>
        <v>---</v>
      </c>
      <c r="K72" s="40">
        <f t="shared" si="7"/>
        <v>48211</v>
      </c>
    </row>
    <row r="73" spans="1:11" x14ac:dyDescent="0.2">
      <c r="A73" s="18" t="s">
        <v>157</v>
      </c>
      <c r="B73" s="2">
        <v>43796</v>
      </c>
      <c r="C73" s="2">
        <v>48241</v>
      </c>
      <c r="D73" s="2">
        <v>48241</v>
      </c>
      <c r="E73" s="37" t="s">
        <v>422</v>
      </c>
      <c r="F73" s="2">
        <f t="shared" si="5"/>
        <v>48241</v>
      </c>
      <c r="G73" t="str">
        <f t="shared" si="6"/>
        <v>NG</v>
      </c>
      <c r="H73" s="35" t="str">
        <f t="shared" si="4"/>
        <v>NYMEX</v>
      </c>
      <c r="I73" t="str" cm="1">
        <f t="array" ref="I73">IFERROR(INDEX(Spreads!A:A,MATCH(1, (Spreads!E:E=G73)*(Spreads!C:C&gt;=F73), 0)),"---")</f>
        <v>---</v>
      </c>
      <c r="J73" s="40" t="str">
        <f>IFERROR(INDEX(Spreads!C:C, MATCH('CME Data'!I73,Spreads!A:A,0)),"---")</f>
        <v>---</v>
      </c>
      <c r="K73" s="40">
        <f t="shared" si="7"/>
        <v>48241</v>
      </c>
    </row>
    <row r="74" spans="1:11" x14ac:dyDescent="0.2">
      <c r="A74" s="18" t="s">
        <v>158</v>
      </c>
      <c r="B74" s="2">
        <v>43796</v>
      </c>
      <c r="C74" s="2">
        <v>48269</v>
      </c>
      <c r="D74" s="2">
        <v>48269</v>
      </c>
      <c r="E74" s="37" t="s">
        <v>422</v>
      </c>
      <c r="F74" s="2">
        <f t="shared" si="5"/>
        <v>48269</v>
      </c>
      <c r="G74" t="str">
        <f t="shared" si="6"/>
        <v>NG</v>
      </c>
      <c r="H74" s="35" t="str">
        <f t="shared" si="4"/>
        <v>NYMEX</v>
      </c>
      <c r="I74" t="str" cm="1">
        <f t="array" ref="I74">IFERROR(INDEX(Spreads!A:A,MATCH(1, (Spreads!E:E=G74)*(Spreads!C:C&gt;=F74), 0)),"---")</f>
        <v>---</v>
      </c>
      <c r="J74" s="40" t="str">
        <f>IFERROR(INDEX(Spreads!C:C, MATCH('CME Data'!I74,Spreads!A:A,0)),"---")</f>
        <v>---</v>
      </c>
      <c r="K74" s="40">
        <f t="shared" si="7"/>
        <v>48269</v>
      </c>
    </row>
    <row r="75" spans="1:11" x14ac:dyDescent="0.2">
      <c r="A75" s="18" t="s">
        <v>159</v>
      </c>
      <c r="B75" s="2">
        <v>43796</v>
      </c>
      <c r="C75" s="2">
        <v>48302</v>
      </c>
      <c r="D75" s="2">
        <v>48302</v>
      </c>
      <c r="E75" s="37" t="s">
        <v>422</v>
      </c>
      <c r="F75" s="2">
        <f t="shared" si="5"/>
        <v>48302</v>
      </c>
      <c r="G75" t="str">
        <f t="shared" si="6"/>
        <v>NG</v>
      </c>
      <c r="H75" s="35" t="str">
        <f t="shared" si="4"/>
        <v>NYMEX</v>
      </c>
      <c r="I75" t="str" cm="1">
        <f t="array" ref="I75">IFERROR(INDEX(Spreads!A:A,MATCH(1, (Spreads!E:E=G75)*(Spreads!C:C&gt;=F75), 0)),"---")</f>
        <v>---</v>
      </c>
      <c r="J75" s="40" t="str">
        <f>IFERROR(INDEX(Spreads!C:C, MATCH('CME Data'!I75,Spreads!A:A,0)),"---")</f>
        <v>---</v>
      </c>
      <c r="K75" s="40">
        <f t="shared" si="7"/>
        <v>48302</v>
      </c>
    </row>
    <row r="76" spans="1:11" x14ac:dyDescent="0.2">
      <c r="A76" s="18" t="s">
        <v>160</v>
      </c>
      <c r="B76" s="2">
        <v>43796</v>
      </c>
      <c r="C76" s="2">
        <v>48332</v>
      </c>
      <c r="D76" s="2">
        <v>48332</v>
      </c>
      <c r="E76" s="37" t="s">
        <v>422</v>
      </c>
      <c r="F76" s="2">
        <f t="shared" si="5"/>
        <v>48332</v>
      </c>
      <c r="G76" t="str">
        <f t="shared" si="6"/>
        <v>NG</v>
      </c>
      <c r="H76" s="35" t="str">
        <f t="shared" si="4"/>
        <v>NYMEX</v>
      </c>
      <c r="I76" t="str" cm="1">
        <f t="array" ref="I76">IFERROR(INDEX(Spreads!A:A,MATCH(1, (Spreads!E:E=G76)*(Spreads!C:C&gt;=F76), 0)),"---")</f>
        <v>---</v>
      </c>
      <c r="J76" s="40" t="str">
        <f>IFERROR(INDEX(Spreads!C:C, MATCH('CME Data'!I76,Spreads!A:A,0)),"---")</f>
        <v>---</v>
      </c>
      <c r="K76" s="40">
        <f t="shared" si="7"/>
        <v>48332</v>
      </c>
    </row>
    <row r="77" spans="1:11" x14ac:dyDescent="0.2">
      <c r="A77" s="18" t="s">
        <v>161</v>
      </c>
      <c r="B77" s="2">
        <v>43796</v>
      </c>
      <c r="C77" s="2">
        <v>48360</v>
      </c>
      <c r="D77" s="2">
        <v>48360</v>
      </c>
      <c r="E77" s="37" t="s">
        <v>422</v>
      </c>
      <c r="F77" s="2">
        <f t="shared" si="5"/>
        <v>48360</v>
      </c>
      <c r="G77" t="str">
        <f t="shared" si="6"/>
        <v>NG</v>
      </c>
      <c r="H77" s="35" t="str">
        <f t="shared" si="4"/>
        <v>NYMEX</v>
      </c>
      <c r="I77" t="str" cm="1">
        <f t="array" ref="I77">IFERROR(INDEX(Spreads!A:A,MATCH(1, (Spreads!E:E=G77)*(Spreads!C:C&gt;=F77), 0)),"---")</f>
        <v>---</v>
      </c>
      <c r="J77" s="40" t="str">
        <f>IFERROR(INDEX(Spreads!C:C, MATCH('CME Data'!I77,Spreads!A:A,0)),"---")</f>
        <v>---</v>
      </c>
      <c r="K77" s="40">
        <f t="shared" si="7"/>
        <v>48360</v>
      </c>
    </row>
    <row r="78" spans="1:11" x14ac:dyDescent="0.2">
      <c r="A78" s="18" t="s">
        <v>162</v>
      </c>
      <c r="B78" s="2">
        <v>43796</v>
      </c>
      <c r="C78" s="2">
        <v>48393</v>
      </c>
      <c r="D78" s="2">
        <v>48393</v>
      </c>
      <c r="E78" s="37" t="s">
        <v>422</v>
      </c>
      <c r="F78" s="2">
        <f t="shared" si="5"/>
        <v>48393</v>
      </c>
      <c r="G78" t="str">
        <f t="shared" si="6"/>
        <v>NG</v>
      </c>
      <c r="H78" s="35" t="str">
        <f t="shared" si="4"/>
        <v>NYMEX</v>
      </c>
      <c r="I78" t="str" cm="1">
        <f t="array" ref="I78">IFERROR(INDEX(Spreads!A:A,MATCH(1, (Spreads!E:E=G78)*(Spreads!C:C&gt;=F78), 0)),"---")</f>
        <v>---</v>
      </c>
      <c r="J78" s="40" t="str">
        <f>IFERROR(INDEX(Spreads!C:C, MATCH('CME Data'!I78,Spreads!A:A,0)),"---")</f>
        <v>---</v>
      </c>
      <c r="K78" s="40">
        <f t="shared" si="7"/>
        <v>48393</v>
      </c>
    </row>
    <row r="79" spans="1:11" x14ac:dyDescent="0.2">
      <c r="A79" s="18" t="s">
        <v>163</v>
      </c>
      <c r="B79" s="2">
        <v>43796</v>
      </c>
      <c r="C79" s="2">
        <v>48423</v>
      </c>
      <c r="D79" s="2">
        <v>48423</v>
      </c>
      <c r="E79" s="37" t="s">
        <v>422</v>
      </c>
      <c r="F79" s="2">
        <f t="shared" si="5"/>
        <v>48423</v>
      </c>
      <c r="G79" t="str">
        <f t="shared" si="6"/>
        <v>NG</v>
      </c>
      <c r="H79" s="35" t="str">
        <f t="shared" si="4"/>
        <v>NYMEX</v>
      </c>
      <c r="I79" t="str" cm="1">
        <f t="array" ref="I79">IFERROR(INDEX(Spreads!A:A,MATCH(1, (Spreads!E:E=G79)*(Spreads!C:C&gt;=F79), 0)),"---")</f>
        <v>---</v>
      </c>
      <c r="J79" s="40" t="str">
        <f>IFERROR(INDEX(Spreads!C:C, MATCH('CME Data'!I79,Spreads!A:A,0)),"---")</f>
        <v>---</v>
      </c>
      <c r="K79" s="40">
        <f t="shared" si="7"/>
        <v>48423</v>
      </c>
    </row>
    <row r="80" spans="1:11" x14ac:dyDescent="0.2">
      <c r="A80" s="18" t="s">
        <v>164</v>
      </c>
      <c r="B80" s="2">
        <v>43796</v>
      </c>
      <c r="C80" s="2">
        <v>48453</v>
      </c>
      <c r="D80" s="2">
        <v>48453</v>
      </c>
      <c r="E80" s="37" t="s">
        <v>422</v>
      </c>
      <c r="F80" s="2">
        <f t="shared" si="5"/>
        <v>48453</v>
      </c>
      <c r="G80" t="str">
        <f t="shared" si="6"/>
        <v>NG</v>
      </c>
      <c r="H80" s="35" t="str">
        <f t="shared" si="4"/>
        <v>NYMEX</v>
      </c>
      <c r="I80" t="str" cm="1">
        <f t="array" ref="I80">IFERROR(INDEX(Spreads!A:A,MATCH(1, (Spreads!E:E=G80)*(Spreads!C:C&gt;=F80), 0)),"---")</f>
        <v>---</v>
      </c>
      <c r="J80" s="40" t="str">
        <f>IFERROR(INDEX(Spreads!C:C, MATCH('CME Data'!I80,Spreads!A:A,0)),"---")</f>
        <v>---</v>
      </c>
      <c r="K80" s="40">
        <f t="shared" si="7"/>
        <v>48453</v>
      </c>
    </row>
    <row r="81" spans="1:11" x14ac:dyDescent="0.2">
      <c r="A81" s="18" t="s">
        <v>165</v>
      </c>
      <c r="B81" s="2">
        <v>43796</v>
      </c>
      <c r="C81" s="2">
        <v>48485</v>
      </c>
      <c r="D81" s="2">
        <v>48485</v>
      </c>
      <c r="E81" s="37" t="s">
        <v>422</v>
      </c>
      <c r="F81" s="2">
        <f t="shared" si="5"/>
        <v>48485</v>
      </c>
      <c r="G81" t="str">
        <f t="shared" si="6"/>
        <v>NG</v>
      </c>
      <c r="H81" s="35" t="str">
        <f t="shared" si="4"/>
        <v>NYMEX</v>
      </c>
      <c r="I81" t="str" cm="1">
        <f t="array" ref="I81">IFERROR(INDEX(Spreads!A:A,MATCH(1, (Spreads!E:E=G81)*(Spreads!C:C&gt;=F81), 0)),"---")</f>
        <v>---</v>
      </c>
      <c r="J81" s="40" t="str">
        <f>IFERROR(INDEX(Spreads!C:C, MATCH('CME Data'!I81,Spreads!A:A,0)),"---")</f>
        <v>---</v>
      </c>
      <c r="K81" s="40">
        <f t="shared" si="7"/>
        <v>48485</v>
      </c>
    </row>
    <row r="82" spans="1:11" x14ac:dyDescent="0.2">
      <c r="A82" s="18" t="s">
        <v>166</v>
      </c>
      <c r="B82" s="2">
        <v>43796</v>
      </c>
      <c r="C82" s="2">
        <v>48514</v>
      </c>
      <c r="D82" s="2">
        <v>48514</v>
      </c>
      <c r="E82" s="37" t="s">
        <v>422</v>
      </c>
      <c r="F82" s="2">
        <f t="shared" si="5"/>
        <v>48514</v>
      </c>
      <c r="G82" t="str">
        <f t="shared" si="6"/>
        <v>NG</v>
      </c>
      <c r="H82" s="35" t="str">
        <f t="shared" si="4"/>
        <v>NYMEX</v>
      </c>
      <c r="I82" t="str" cm="1">
        <f t="array" ref="I82">IFERROR(INDEX(Spreads!A:A,MATCH(1, (Spreads!E:E=G82)*(Spreads!C:C&gt;=F82), 0)),"---")</f>
        <v>---</v>
      </c>
      <c r="J82" s="40" t="str">
        <f>IFERROR(INDEX(Spreads!C:C, MATCH('CME Data'!I82,Spreads!A:A,0)),"---")</f>
        <v>---</v>
      </c>
      <c r="K82" s="40">
        <f t="shared" si="7"/>
        <v>48514</v>
      </c>
    </row>
    <row r="83" spans="1:11" x14ac:dyDescent="0.2">
      <c r="A83" s="18" t="s">
        <v>167</v>
      </c>
      <c r="B83" s="2">
        <v>43796</v>
      </c>
      <c r="C83" s="2">
        <v>48544</v>
      </c>
      <c r="D83" s="2">
        <v>48544</v>
      </c>
      <c r="E83" s="37" t="s">
        <v>422</v>
      </c>
      <c r="F83" s="2">
        <f t="shared" si="5"/>
        <v>48544</v>
      </c>
      <c r="G83" t="str">
        <f t="shared" si="6"/>
        <v>NG</v>
      </c>
      <c r="H83" s="35" t="str">
        <f t="shared" si="4"/>
        <v>NYMEX</v>
      </c>
      <c r="I83" t="str" cm="1">
        <f t="array" ref="I83">IFERROR(INDEX(Spreads!A:A,MATCH(1, (Spreads!E:E=G83)*(Spreads!C:C&gt;=F83), 0)),"---")</f>
        <v>---</v>
      </c>
      <c r="J83" s="40" t="str">
        <f>IFERROR(INDEX(Spreads!C:C, MATCH('CME Data'!I83,Spreads!A:A,0)),"---")</f>
        <v>---</v>
      </c>
      <c r="K83" s="40">
        <f t="shared" si="7"/>
        <v>48544</v>
      </c>
    </row>
    <row r="84" spans="1:11" x14ac:dyDescent="0.2">
      <c r="A84" s="18" t="s">
        <v>168</v>
      </c>
      <c r="B84" s="2">
        <v>44162</v>
      </c>
      <c r="C84" s="2">
        <v>48577</v>
      </c>
      <c r="D84" s="2">
        <v>48577</v>
      </c>
      <c r="E84" s="37" t="s">
        <v>422</v>
      </c>
      <c r="F84" s="2">
        <f t="shared" si="5"/>
        <v>48577</v>
      </c>
      <c r="G84" t="str">
        <f t="shared" si="6"/>
        <v>NG</v>
      </c>
      <c r="H84" s="35" t="str">
        <f t="shared" si="4"/>
        <v>NYMEX</v>
      </c>
      <c r="I84" t="str" cm="1">
        <f t="array" ref="I84">IFERROR(INDEX(Spreads!A:A,MATCH(1, (Spreads!E:E=G84)*(Spreads!C:C&gt;=F84), 0)),"---")</f>
        <v>---</v>
      </c>
      <c r="J84" s="40" t="str">
        <f>IFERROR(INDEX(Spreads!C:C, MATCH('CME Data'!I84,Spreads!A:A,0)),"---")</f>
        <v>---</v>
      </c>
      <c r="K84" s="40">
        <f t="shared" si="7"/>
        <v>48577</v>
      </c>
    </row>
    <row r="85" spans="1:11" x14ac:dyDescent="0.2">
      <c r="A85" s="18" t="s">
        <v>169</v>
      </c>
      <c r="B85" s="2">
        <v>44162</v>
      </c>
      <c r="C85" s="2">
        <v>48606</v>
      </c>
      <c r="D85" s="2">
        <v>48606</v>
      </c>
      <c r="E85" s="37" t="s">
        <v>422</v>
      </c>
      <c r="F85" s="2">
        <f t="shared" si="5"/>
        <v>48606</v>
      </c>
      <c r="G85" t="str">
        <f t="shared" si="6"/>
        <v>NG</v>
      </c>
      <c r="H85" s="35" t="str">
        <f t="shared" si="4"/>
        <v>NYMEX</v>
      </c>
      <c r="I85" t="str" cm="1">
        <f t="array" ref="I85">IFERROR(INDEX(Spreads!A:A,MATCH(1, (Spreads!E:E=G85)*(Spreads!C:C&gt;=F85), 0)),"---")</f>
        <v>---</v>
      </c>
      <c r="J85" s="40" t="str">
        <f>IFERROR(INDEX(Spreads!C:C, MATCH('CME Data'!I85,Spreads!A:A,0)),"---")</f>
        <v>---</v>
      </c>
      <c r="K85" s="40">
        <f t="shared" si="7"/>
        <v>48606</v>
      </c>
    </row>
    <row r="86" spans="1:11" x14ac:dyDescent="0.2">
      <c r="A86" s="18" t="s">
        <v>170</v>
      </c>
      <c r="B86" s="2">
        <v>44162</v>
      </c>
      <c r="C86" s="2">
        <v>48634</v>
      </c>
      <c r="D86" s="2">
        <v>48634</v>
      </c>
      <c r="E86" s="37" t="s">
        <v>422</v>
      </c>
      <c r="F86" s="2">
        <f t="shared" si="5"/>
        <v>48634</v>
      </c>
      <c r="G86" t="str">
        <f t="shared" si="6"/>
        <v>NG</v>
      </c>
      <c r="H86" s="35" t="str">
        <f t="shared" si="4"/>
        <v>NYMEX</v>
      </c>
      <c r="I86" t="str" cm="1">
        <f t="array" ref="I86">IFERROR(INDEX(Spreads!A:A,MATCH(1, (Spreads!E:E=G86)*(Spreads!C:C&gt;=F86), 0)),"---")</f>
        <v>---</v>
      </c>
      <c r="J86" s="40" t="str">
        <f>IFERROR(INDEX(Spreads!C:C, MATCH('CME Data'!I86,Spreads!A:A,0)),"---")</f>
        <v>---</v>
      </c>
      <c r="K86" s="40">
        <f t="shared" si="7"/>
        <v>48634</v>
      </c>
    </row>
    <row r="87" spans="1:11" x14ac:dyDescent="0.2">
      <c r="A87" s="18" t="s">
        <v>171</v>
      </c>
      <c r="B87" s="2">
        <v>44162</v>
      </c>
      <c r="C87" s="2">
        <v>48667</v>
      </c>
      <c r="D87" s="2">
        <v>48667</v>
      </c>
      <c r="E87" s="37" t="s">
        <v>422</v>
      </c>
      <c r="F87" s="2">
        <f t="shared" si="5"/>
        <v>48667</v>
      </c>
      <c r="G87" t="str">
        <f t="shared" si="6"/>
        <v>NG</v>
      </c>
      <c r="H87" s="35" t="str">
        <f t="shared" si="4"/>
        <v>NYMEX</v>
      </c>
      <c r="I87" t="str" cm="1">
        <f t="array" ref="I87">IFERROR(INDEX(Spreads!A:A,MATCH(1, (Spreads!E:E=G87)*(Spreads!C:C&gt;=F87), 0)),"---")</f>
        <v>---</v>
      </c>
      <c r="J87" s="40" t="str">
        <f>IFERROR(INDEX(Spreads!C:C, MATCH('CME Data'!I87,Spreads!A:A,0)),"---")</f>
        <v>---</v>
      </c>
      <c r="K87" s="40">
        <f t="shared" si="7"/>
        <v>48667</v>
      </c>
    </row>
    <row r="88" spans="1:11" x14ac:dyDescent="0.2">
      <c r="A88" s="18" t="s">
        <v>172</v>
      </c>
      <c r="B88" s="2">
        <v>44162</v>
      </c>
      <c r="C88" s="2">
        <v>48696</v>
      </c>
      <c r="D88" s="2">
        <v>48696</v>
      </c>
      <c r="E88" s="37" t="s">
        <v>422</v>
      </c>
      <c r="F88" s="2">
        <f t="shared" si="5"/>
        <v>48696</v>
      </c>
      <c r="G88" t="str">
        <f t="shared" si="6"/>
        <v>NG</v>
      </c>
      <c r="H88" s="35" t="str">
        <f t="shared" si="4"/>
        <v>NYMEX</v>
      </c>
      <c r="I88" t="str" cm="1">
        <f t="array" ref="I88">IFERROR(INDEX(Spreads!A:A,MATCH(1, (Spreads!E:E=G88)*(Spreads!C:C&gt;=F88), 0)),"---")</f>
        <v>---</v>
      </c>
      <c r="J88" s="40" t="str">
        <f>IFERROR(INDEX(Spreads!C:C, MATCH('CME Data'!I88,Spreads!A:A,0)),"---")</f>
        <v>---</v>
      </c>
      <c r="K88" s="40">
        <f t="shared" si="7"/>
        <v>48696</v>
      </c>
    </row>
    <row r="89" spans="1:11" x14ac:dyDescent="0.2">
      <c r="A89" s="18" t="s">
        <v>173</v>
      </c>
      <c r="B89" s="2">
        <v>44162</v>
      </c>
      <c r="C89" s="2">
        <v>48725</v>
      </c>
      <c r="D89" s="2">
        <v>48725</v>
      </c>
      <c r="E89" s="37" t="s">
        <v>422</v>
      </c>
      <c r="F89" s="2">
        <f t="shared" si="5"/>
        <v>48725</v>
      </c>
      <c r="G89" t="str">
        <f t="shared" si="6"/>
        <v>NG</v>
      </c>
      <c r="H89" s="35" t="str">
        <f t="shared" si="4"/>
        <v>NYMEX</v>
      </c>
      <c r="I89" t="str" cm="1">
        <f t="array" ref="I89">IFERROR(INDEX(Spreads!A:A,MATCH(1, (Spreads!E:E=G89)*(Spreads!C:C&gt;=F89), 0)),"---")</f>
        <v>---</v>
      </c>
      <c r="J89" s="40" t="str">
        <f>IFERROR(INDEX(Spreads!C:C, MATCH('CME Data'!I89,Spreads!A:A,0)),"---")</f>
        <v>---</v>
      </c>
      <c r="K89" s="40">
        <f t="shared" si="7"/>
        <v>48725</v>
      </c>
    </row>
    <row r="90" spans="1:11" x14ac:dyDescent="0.2">
      <c r="A90" s="18" t="s">
        <v>174</v>
      </c>
      <c r="B90" s="2">
        <v>44162</v>
      </c>
      <c r="C90" s="2">
        <v>48758</v>
      </c>
      <c r="D90" s="2">
        <v>48758</v>
      </c>
      <c r="E90" s="37" t="s">
        <v>422</v>
      </c>
      <c r="F90" s="2">
        <f t="shared" si="5"/>
        <v>48758</v>
      </c>
      <c r="G90" t="str">
        <f t="shared" si="6"/>
        <v>NG</v>
      </c>
      <c r="H90" s="35" t="str">
        <f t="shared" si="4"/>
        <v>NYMEX</v>
      </c>
      <c r="I90" t="str" cm="1">
        <f t="array" ref="I90">IFERROR(INDEX(Spreads!A:A,MATCH(1, (Spreads!E:E=G90)*(Spreads!C:C&gt;=F90), 0)),"---")</f>
        <v>---</v>
      </c>
      <c r="J90" s="40" t="str">
        <f>IFERROR(INDEX(Spreads!C:C, MATCH('CME Data'!I90,Spreads!A:A,0)),"---")</f>
        <v>---</v>
      </c>
      <c r="K90" s="40">
        <f t="shared" si="7"/>
        <v>48758</v>
      </c>
    </row>
    <row r="91" spans="1:11" x14ac:dyDescent="0.2">
      <c r="A91" s="18" t="s">
        <v>175</v>
      </c>
      <c r="B91" s="2">
        <v>44162</v>
      </c>
      <c r="C91" s="2">
        <v>48787</v>
      </c>
      <c r="D91" s="2">
        <v>48787</v>
      </c>
      <c r="E91" s="37" t="s">
        <v>422</v>
      </c>
      <c r="F91" s="2">
        <f t="shared" si="5"/>
        <v>48787</v>
      </c>
      <c r="G91" t="str">
        <f t="shared" si="6"/>
        <v>NG</v>
      </c>
      <c r="H91" s="35" t="str">
        <f t="shared" si="4"/>
        <v>NYMEX</v>
      </c>
      <c r="I91" t="str" cm="1">
        <f t="array" ref="I91">IFERROR(INDEX(Spreads!A:A,MATCH(1, (Spreads!E:E=G91)*(Spreads!C:C&gt;=F91), 0)),"---")</f>
        <v>---</v>
      </c>
      <c r="J91" s="40" t="str">
        <f>IFERROR(INDEX(Spreads!C:C, MATCH('CME Data'!I91,Spreads!A:A,0)),"---")</f>
        <v>---</v>
      </c>
      <c r="K91" s="40">
        <f t="shared" si="7"/>
        <v>48787</v>
      </c>
    </row>
    <row r="92" spans="1:11" x14ac:dyDescent="0.2">
      <c r="A92" s="18" t="s">
        <v>176</v>
      </c>
      <c r="B92" s="2">
        <v>44162</v>
      </c>
      <c r="C92" s="2">
        <v>48820</v>
      </c>
      <c r="D92" s="2">
        <v>48820</v>
      </c>
      <c r="E92" s="37" t="s">
        <v>422</v>
      </c>
      <c r="F92" s="2">
        <f t="shared" si="5"/>
        <v>48820</v>
      </c>
      <c r="G92" t="str">
        <f t="shared" si="6"/>
        <v>NG</v>
      </c>
      <c r="H92" s="35" t="str">
        <f t="shared" si="4"/>
        <v>NYMEX</v>
      </c>
      <c r="I92" t="str" cm="1">
        <f t="array" ref="I92">IFERROR(INDEX(Spreads!A:A,MATCH(1, (Spreads!E:E=G92)*(Spreads!C:C&gt;=F92), 0)),"---")</f>
        <v>---</v>
      </c>
      <c r="J92" s="40" t="str">
        <f>IFERROR(INDEX(Spreads!C:C, MATCH('CME Data'!I92,Spreads!A:A,0)),"---")</f>
        <v>---</v>
      </c>
      <c r="K92" s="40">
        <f t="shared" si="7"/>
        <v>48820</v>
      </c>
    </row>
    <row r="93" spans="1:11" x14ac:dyDescent="0.2">
      <c r="A93" s="18" t="s">
        <v>177</v>
      </c>
      <c r="B93" s="2">
        <v>44162</v>
      </c>
      <c r="C93" s="2">
        <v>48850</v>
      </c>
      <c r="D93" s="2">
        <v>48850</v>
      </c>
      <c r="E93" s="37" t="s">
        <v>422</v>
      </c>
      <c r="F93" s="2">
        <f t="shared" si="5"/>
        <v>48850</v>
      </c>
      <c r="G93" t="str">
        <f t="shared" si="6"/>
        <v>NG</v>
      </c>
      <c r="H93" s="35" t="str">
        <f t="shared" si="4"/>
        <v>NYMEX</v>
      </c>
      <c r="I93" t="str" cm="1">
        <f t="array" ref="I93">IFERROR(INDEX(Spreads!A:A,MATCH(1, (Spreads!E:E=G93)*(Spreads!C:C&gt;=F93), 0)),"---")</f>
        <v>---</v>
      </c>
      <c r="J93" s="40" t="str">
        <f>IFERROR(INDEX(Spreads!C:C, MATCH('CME Data'!I93,Spreads!A:A,0)),"---")</f>
        <v>---</v>
      </c>
      <c r="K93" s="40">
        <f t="shared" si="7"/>
        <v>48850</v>
      </c>
    </row>
    <row r="94" spans="1:11" x14ac:dyDescent="0.2">
      <c r="A94" s="18" t="s">
        <v>178</v>
      </c>
      <c r="B94" s="2">
        <v>44162</v>
      </c>
      <c r="C94" s="2">
        <v>48879</v>
      </c>
      <c r="D94" s="2">
        <v>48879</v>
      </c>
      <c r="E94" s="37" t="s">
        <v>422</v>
      </c>
      <c r="F94" s="2">
        <f t="shared" si="5"/>
        <v>48879</v>
      </c>
      <c r="G94" t="str">
        <f t="shared" si="6"/>
        <v>NG</v>
      </c>
      <c r="H94" s="35" t="str">
        <f t="shared" si="4"/>
        <v>NYMEX</v>
      </c>
      <c r="I94" t="str" cm="1">
        <f t="array" ref="I94">IFERROR(INDEX(Spreads!A:A,MATCH(1, (Spreads!E:E=G94)*(Spreads!C:C&gt;=F94), 0)),"---")</f>
        <v>---</v>
      </c>
      <c r="J94" s="40" t="str">
        <f>IFERROR(INDEX(Spreads!C:C, MATCH('CME Data'!I94,Spreads!A:A,0)),"---")</f>
        <v>---</v>
      </c>
      <c r="K94" s="40">
        <f t="shared" si="7"/>
        <v>48879</v>
      </c>
    </row>
    <row r="95" spans="1:11" x14ac:dyDescent="0.2">
      <c r="A95" s="18" t="s">
        <v>179</v>
      </c>
      <c r="B95" s="2">
        <v>44162</v>
      </c>
      <c r="C95" s="2">
        <v>48911</v>
      </c>
      <c r="D95" s="2">
        <v>48911</v>
      </c>
      <c r="E95" s="37" t="s">
        <v>422</v>
      </c>
      <c r="F95" s="2">
        <f t="shared" si="5"/>
        <v>48911</v>
      </c>
      <c r="G95" t="str">
        <f t="shared" si="6"/>
        <v>NG</v>
      </c>
      <c r="H95" s="35" t="str">
        <f t="shared" si="4"/>
        <v>NYMEX</v>
      </c>
      <c r="I95" t="str" cm="1">
        <f t="array" ref="I95">IFERROR(INDEX(Spreads!A:A,MATCH(1, (Spreads!E:E=G95)*(Spreads!C:C&gt;=F95), 0)),"---")</f>
        <v>---</v>
      </c>
      <c r="J95" s="40" t="str">
        <f>IFERROR(INDEX(Spreads!C:C, MATCH('CME Data'!I95,Spreads!A:A,0)),"---")</f>
        <v>---</v>
      </c>
      <c r="K95" s="40">
        <f t="shared" si="7"/>
        <v>48911</v>
      </c>
    </row>
    <row r="96" spans="1:11" x14ac:dyDescent="0.2">
      <c r="A96" s="18" t="s">
        <v>180</v>
      </c>
      <c r="B96" s="2">
        <v>44529</v>
      </c>
      <c r="C96" s="2">
        <v>48941</v>
      </c>
      <c r="D96" s="2">
        <v>48941</v>
      </c>
      <c r="E96" s="37" t="s">
        <v>422</v>
      </c>
      <c r="F96" s="2">
        <f t="shared" si="5"/>
        <v>48941</v>
      </c>
      <c r="G96" t="str">
        <f t="shared" si="6"/>
        <v>NG</v>
      </c>
      <c r="H96" s="35" t="str">
        <f t="shared" si="4"/>
        <v>NYMEX</v>
      </c>
      <c r="I96" t="str" cm="1">
        <f t="array" ref="I96">IFERROR(INDEX(Spreads!A:A,MATCH(1, (Spreads!E:E=G96)*(Spreads!C:C&gt;=F96), 0)),"---")</f>
        <v>---</v>
      </c>
      <c r="J96" s="40" t="str">
        <f>IFERROR(INDEX(Spreads!C:C, MATCH('CME Data'!I96,Spreads!A:A,0)),"---")</f>
        <v>---</v>
      </c>
      <c r="K96" s="40">
        <f t="shared" si="7"/>
        <v>48941</v>
      </c>
    </row>
    <row r="97" spans="1:11" x14ac:dyDescent="0.2">
      <c r="A97" s="18" t="s">
        <v>181</v>
      </c>
      <c r="B97" s="2">
        <v>44529</v>
      </c>
      <c r="C97" s="2">
        <v>48971</v>
      </c>
      <c r="D97" s="2">
        <v>48971</v>
      </c>
      <c r="E97" s="37" t="s">
        <v>422</v>
      </c>
      <c r="F97" s="2">
        <f t="shared" si="5"/>
        <v>48971</v>
      </c>
      <c r="G97" t="str">
        <f t="shared" si="6"/>
        <v>NG</v>
      </c>
      <c r="H97" s="35" t="str">
        <f t="shared" si="4"/>
        <v>NYMEX</v>
      </c>
      <c r="I97" t="str" cm="1">
        <f t="array" ref="I97">IFERROR(INDEX(Spreads!A:A,MATCH(1, (Spreads!E:E=G97)*(Spreads!C:C&gt;=F97), 0)),"---")</f>
        <v>---</v>
      </c>
      <c r="J97" s="40" t="str">
        <f>IFERROR(INDEX(Spreads!C:C, MATCH('CME Data'!I97,Spreads!A:A,0)),"---")</f>
        <v>---</v>
      </c>
      <c r="K97" s="40">
        <f t="shared" si="7"/>
        <v>48971</v>
      </c>
    </row>
    <row r="98" spans="1:11" x14ac:dyDescent="0.2">
      <c r="A98" s="18" t="s">
        <v>182</v>
      </c>
      <c r="B98" s="2">
        <v>44529</v>
      </c>
      <c r="C98" s="2">
        <v>48999</v>
      </c>
      <c r="D98" s="2">
        <v>48999</v>
      </c>
      <c r="E98" s="37" t="s">
        <v>422</v>
      </c>
      <c r="F98" s="2">
        <f t="shared" si="5"/>
        <v>48999</v>
      </c>
      <c r="G98" t="str">
        <f t="shared" si="6"/>
        <v>NG</v>
      </c>
      <c r="H98" s="35" t="str">
        <f t="shared" si="4"/>
        <v>NYMEX</v>
      </c>
      <c r="I98" t="str" cm="1">
        <f t="array" ref="I98">IFERROR(INDEX(Spreads!A:A,MATCH(1, (Spreads!E:E=G98)*(Spreads!C:C&gt;=F98), 0)),"---")</f>
        <v>---</v>
      </c>
      <c r="J98" s="40" t="str">
        <f>IFERROR(INDEX(Spreads!C:C, MATCH('CME Data'!I98,Spreads!A:A,0)),"---")</f>
        <v>---</v>
      </c>
      <c r="K98" s="40">
        <f t="shared" si="7"/>
        <v>48999</v>
      </c>
    </row>
    <row r="99" spans="1:11" x14ac:dyDescent="0.2">
      <c r="A99" s="18" t="s">
        <v>183</v>
      </c>
      <c r="B99" s="2">
        <v>44529</v>
      </c>
      <c r="C99" s="2">
        <v>49032</v>
      </c>
      <c r="D99" s="2">
        <v>49032</v>
      </c>
      <c r="E99" s="37" t="s">
        <v>422</v>
      </c>
      <c r="F99" s="2">
        <f t="shared" si="5"/>
        <v>49032</v>
      </c>
      <c r="G99" t="str">
        <f t="shared" si="6"/>
        <v>NG</v>
      </c>
      <c r="H99" s="35" t="str">
        <f t="shared" si="4"/>
        <v>NYMEX</v>
      </c>
      <c r="I99" t="str" cm="1">
        <f t="array" ref="I99">IFERROR(INDEX(Spreads!A:A,MATCH(1, (Spreads!E:E=G99)*(Spreads!C:C&gt;=F99), 0)),"---")</f>
        <v>---</v>
      </c>
      <c r="J99" s="40" t="str">
        <f>IFERROR(INDEX(Spreads!C:C, MATCH('CME Data'!I99,Spreads!A:A,0)),"---")</f>
        <v>---</v>
      </c>
      <c r="K99" s="40">
        <f t="shared" si="7"/>
        <v>49032</v>
      </c>
    </row>
    <row r="100" spans="1:11" x14ac:dyDescent="0.2">
      <c r="A100" s="18" t="s">
        <v>184</v>
      </c>
      <c r="B100" s="2">
        <v>44529</v>
      </c>
      <c r="C100" s="2">
        <v>49060</v>
      </c>
      <c r="D100" s="2">
        <v>49060</v>
      </c>
      <c r="E100" s="37" t="s">
        <v>422</v>
      </c>
      <c r="F100" s="2">
        <f t="shared" si="5"/>
        <v>49060</v>
      </c>
      <c r="G100" t="str">
        <f t="shared" si="6"/>
        <v>NG</v>
      </c>
      <c r="H100" s="35" t="str">
        <f t="shared" si="4"/>
        <v>NYMEX</v>
      </c>
      <c r="I100" t="str" cm="1">
        <f t="array" ref="I100">IFERROR(INDEX(Spreads!A:A,MATCH(1, (Spreads!E:E=G100)*(Spreads!C:C&gt;=F100), 0)),"---")</f>
        <v>---</v>
      </c>
      <c r="J100" s="40" t="str">
        <f>IFERROR(INDEX(Spreads!C:C, MATCH('CME Data'!I100,Spreads!A:A,0)),"---")</f>
        <v>---</v>
      </c>
      <c r="K100" s="40">
        <f t="shared" si="7"/>
        <v>49060</v>
      </c>
    </row>
    <row r="101" spans="1:11" x14ac:dyDescent="0.2">
      <c r="A101" s="18" t="s">
        <v>185</v>
      </c>
      <c r="B101" s="2">
        <v>44529</v>
      </c>
      <c r="C101" s="2">
        <v>49090</v>
      </c>
      <c r="D101" s="2">
        <v>49090</v>
      </c>
      <c r="E101" s="37" t="s">
        <v>422</v>
      </c>
      <c r="F101" s="2">
        <f t="shared" si="5"/>
        <v>49090</v>
      </c>
      <c r="G101" t="str">
        <f t="shared" si="6"/>
        <v>NG</v>
      </c>
      <c r="H101" s="35" t="str">
        <f t="shared" si="4"/>
        <v>NYMEX</v>
      </c>
      <c r="I101" t="str" cm="1">
        <f t="array" ref="I101">IFERROR(INDEX(Spreads!A:A,MATCH(1, (Spreads!E:E=G101)*(Spreads!C:C&gt;=F101), 0)),"---")</f>
        <v>---</v>
      </c>
      <c r="J101" s="40" t="str">
        <f>IFERROR(INDEX(Spreads!C:C, MATCH('CME Data'!I101,Spreads!A:A,0)),"---")</f>
        <v>---</v>
      </c>
      <c r="K101" s="40">
        <f t="shared" si="7"/>
        <v>49090</v>
      </c>
    </row>
    <row r="102" spans="1:11" x14ac:dyDescent="0.2">
      <c r="A102" s="18" t="s">
        <v>186</v>
      </c>
      <c r="B102" s="2">
        <v>44529</v>
      </c>
      <c r="C102" s="2">
        <v>49123</v>
      </c>
      <c r="D102" s="2">
        <v>49123</v>
      </c>
      <c r="E102" s="37" t="s">
        <v>422</v>
      </c>
      <c r="F102" s="2">
        <f t="shared" si="5"/>
        <v>49123</v>
      </c>
      <c r="G102" t="str">
        <f t="shared" si="6"/>
        <v>NG</v>
      </c>
      <c r="H102" s="35" t="str">
        <f t="shared" si="4"/>
        <v>NYMEX</v>
      </c>
      <c r="I102" t="str" cm="1">
        <f t="array" ref="I102">IFERROR(INDEX(Spreads!A:A,MATCH(1, (Spreads!E:E=G102)*(Spreads!C:C&gt;=F102), 0)),"---")</f>
        <v>---</v>
      </c>
      <c r="J102" s="40" t="str">
        <f>IFERROR(INDEX(Spreads!C:C, MATCH('CME Data'!I102,Spreads!A:A,0)),"---")</f>
        <v>---</v>
      </c>
      <c r="K102" s="40">
        <f t="shared" si="7"/>
        <v>49123</v>
      </c>
    </row>
    <row r="103" spans="1:11" x14ac:dyDescent="0.2">
      <c r="A103" s="18" t="s">
        <v>187</v>
      </c>
      <c r="B103" s="2">
        <v>44529</v>
      </c>
      <c r="C103" s="2">
        <v>49152</v>
      </c>
      <c r="D103" s="2">
        <v>49152</v>
      </c>
      <c r="E103" s="37" t="s">
        <v>422</v>
      </c>
      <c r="F103" s="2">
        <f t="shared" si="5"/>
        <v>49152</v>
      </c>
      <c r="G103" t="str">
        <f t="shared" si="6"/>
        <v>NG</v>
      </c>
      <c r="H103" s="35" t="str">
        <f t="shared" si="4"/>
        <v>NYMEX</v>
      </c>
      <c r="I103" t="str" cm="1">
        <f t="array" ref="I103">IFERROR(INDEX(Spreads!A:A,MATCH(1, (Spreads!E:E=G103)*(Spreads!C:C&gt;=F103), 0)),"---")</f>
        <v>---</v>
      </c>
      <c r="J103" s="40" t="str">
        <f>IFERROR(INDEX(Spreads!C:C, MATCH('CME Data'!I103,Spreads!A:A,0)),"---")</f>
        <v>---</v>
      </c>
      <c r="K103" s="40">
        <f t="shared" si="7"/>
        <v>49152</v>
      </c>
    </row>
    <row r="104" spans="1:11" x14ac:dyDescent="0.2">
      <c r="A104" s="18" t="s">
        <v>188</v>
      </c>
      <c r="B104" s="2">
        <v>44529</v>
      </c>
      <c r="C104" s="2">
        <v>49185</v>
      </c>
      <c r="D104" s="2">
        <v>49185</v>
      </c>
      <c r="E104" s="37" t="s">
        <v>422</v>
      </c>
      <c r="F104" s="2">
        <f t="shared" si="5"/>
        <v>49185</v>
      </c>
      <c r="G104" t="str">
        <f t="shared" si="6"/>
        <v>NG</v>
      </c>
      <c r="H104" s="35" t="str">
        <f t="shared" si="4"/>
        <v>NYMEX</v>
      </c>
      <c r="I104" t="str" cm="1">
        <f t="array" ref="I104">IFERROR(INDEX(Spreads!A:A,MATCH(1, (Spreads!E:E=G104)*(Spreads!C:C&gt;=F104), 0)),"---")</f>
        <v>---</v>
      </c>
      <c r="J104" s="40" t="str">
        <f>IFERROR(INDEX(Spreads!C:C, MATCH('CME Data'!I104,Spreads!A:A,0)),"---")</f>
        <v>---</v>
      </c>
      <c r="K104" s="40">
        <f t="shared" si="7"/>
        <v>49185</v>
      </c>
    </row>
    <row r="105" spans="1:11" x14ac:dyDescent="0.2">
      <c r="A105" s="18" t="s">
        <v>189</v>
      </c>
      <c r="B105" s="2">
        <v>44529</v>
      </c>
      <c r="C105" s="2">
        <v>49214</v>
      </c>
      <c r="D105" s="2">
        <v>49214</v>
      </c>
      <c r="E105" s="37" t="s">
        <v>422</v>
      </c>
      <c r="F105" s="2">
        <f t="shared" si="5"/>
        <v>49214</v>
      </c>
      <c r="G105" t="str">
        <f t="shared" si="6"/>
        <v>NG</v>
      </c>
      <c r="H105" s="35" t="str">
        <f t="shared" si="4"/>
        <v>NYMEX</v>
      </c>
      <c r="I105" t="str" cm="1">
        <f t="array" ref="I105">IFERROR(INDEX(Spreads!A:A,MATCH(1, (Spreads!E:E=G105)*(Spreads!C:C&gt;=F105), 0)),"---")</f>
        <v>---</v>
      </c>
      <c r="J105" s="40" t="str">
        <f>IFERROR(INDEX(Spreads!C:C, MATCH('CME Data'!I105,Spreads!A:A,0)),"---")</f>
        <v>---</v>
      </c>
      <c r="K105" s="40">
        <f t="shared" si="7"/>
        <v>49214</v>
      </c>
    </row>
    <row r="106" spans="1:11" x14ac:dyDescent="0.2">
      <c r="A106" s="18" t="s">
        <v>190</v>
      </c>
      <c r="B106" s="2">
        <v>44529</v>
      </c>
      <c r="C106" s="2">
        <v>49244</v>
      </c>
      <c r="D106" s="2">
        <v>49244</v>
      </c>
      <c r="E106" s="37" t="s">
        <v>422</v>
      </c>
      <c r="F106" s="2">
        <f t="shared" si="5"/>
        <v>49244</v>
      </c>
      <c r="G106" t="str">
        <f t="shared" si="6"/>
        <v>NG</v>
      </c>
      <c r="H106" s="35" t="str">
        <f t="shared" si="4"/>
        <v>NYMEX</v>
      </c>
      <c r="I106" t="str" cm="1">
        <f t="array" ref="I106">IFERROR(INDEX(Spreads!A:A,MATCH(1, (Spreads!E:E=G106)*(Spreads!C:C&gt;=F106), 0)),"---")</f>
        <v>---</v>
      </c>
      <c r="J106" s="40" t="str">
        <f>IFERROR(INDEX(Spreads!C:C, MATCH('CME Data'!I106,Spreads!A:A,0)),"---")</f>
        <v>---</v>
      </c>
      <c r="K106" s="40">
        <f t="shared" si="7"/>
        <v>49244</v>
      </c>
    </row>
    <row r="107" spans="1:11" x14ac:dyDescent="0.2">
      <c r="A107" s="18" t="s">
        <v>191</v>
      </c>
      <c r="B107" s="2">
        <v>44529</v>
      </c>
      <c r="C107" s="2">
        <v>49276</v>
      </c>
      <c r="D107" s="2">
        <v>49276</v>
      </c>
      <c r="E107" s="37" t="s">
        <v>422</v>
      </c>
      <c r="F107" s="2">
        <f t="shared" si="5"/>
        <v>49276</v>
      </c>
      <c r="G107" t="str">
        <f t="shared" si="6"/>
        <v>NG</v>
      </c>
      <c r="H107" s="35" t="str">
        <f t="shared" si="4"/>
        <v>NYMEX</v>
      </c>
      <c r="I107" t="str" cm="1">
        <f t="array" ref="I107">IFERROR(INDEX(Spreads!A:A,MATCH(1, (Spreads!E:E=G107)*(Spreads!C:C&gt;=F107), 0)),"---")</f>
        <v>---</v>
      </c>
      <c r="J107" s="40" t="str">
        <f>IFERROR(INDEX(Spreads!C:C, MATCH('CME Data'!I107,Spreads!A:A,0)),"---")</f>
        <v>---</v>
      </c>
      <c r="K107" s="40">
        <f t="shared" si="7"/>
        <v>49276</v>
      </c>
    </row>
    <row r="108" spans="1:11" x14ac:dyDescent="0.2">
      <c r="A108" s="18" t="s">
        <v>192</v>
      </c>
      <c r="B108" s="2">
        <v>44894</v>
      </c>
      <c r="C108" s="2">
        <v>49305</v>
      </c>
      <c r="D108" s="2">
        <v>49305</v>
      </c>
      <c r="E108" s="37" t="s">
        <v>422</v>
      </c>
      <c r="F108" s="2">
        <f t="shared" si="5"/>
        <v>49305</v>
      </c>
      <c r="G108" t="str">
        <f t="shared" si="6"/>
        <v>NG</v>
      </c>
      <c r="H108" s="35" t="str">
        <f t="shared" si="4"/>
        <v>NYMEX</v>
      </c>
      <c r="I108" t="str" cm="1">
        <f t="array" ref="I108">IFERROR(INDEX(Spreads!A:A,MATCH(1, (Spreads!E:E=G108)*(Spreads!C:C&gt;=F108), 0)),"---")</f>
        <v>---</v>
      </c>
      <c r="J108" s="40" t="str">
        <f>IFERROR(INDEX(Spreads!C:C, MATCH('CME Data'!I108,Spreads!A:A,0)),"---")</f>
        <v>---</v>
      </c>
      <c r="K108" s="40">
        <f t="shared" si="7"/>
        <v>49305</v>
      </c>
    </row>
    <row r="109" spans="1:11" x14ac:dyDescent="0.2">
      <c r="A109" s="18" t="s">
        <v>193</v>
      </c>
      <c r="B109" s="2">
        <v>44894</v>
      </c>
      <c r="C109" s="2">
        <v>49338</v>
      </c>
      <c r="D109" s="2">
        <v>49338</v>
      </c>
      <c r="E109" s="37" t="s">
        <v>422</v>
      </c>
      <c r="F109" s="2">
        <f t="shared" si="5"/>
        <v>49338</v>
      </c>
      <c r="G109" t="str">
        <f t="shared" si="6"/>
        <v>NG</v>
      </c>
      <c r="H109" s="35" t="str">
        <f t="shared" si="4"/>
        <v>NYMEX</v>
      </c>
      <c r="I109" t="str" cm="1">
        <f t="array" ref="I109">IFERROR(INDEX(Spreads!A:A,MATCH(1, (Spreads!E:E=G109)*(Spreads!C:C&gt;=F109), 0)),"---")</f>
        <v>---</v>
      </c>
      <c r="J109" s="40" t="str">
        <f>IFERROR(INDEX(Spreads!C:C, MATCH('CME Data'!I109,Spreads!A:A,0)),"---")</f>
        <v>---</v>
      </c>
      <c r="K109" s="40">
        <f t="shared" si="7"/>
        <v>49338</v>
      </c>
    </row>
    <row r="110" spans="1:11" x14ac:dyDescent="0.2">
      <c r="A110" s="18" t="s">
        <v>194</v>
      </c>
      <c r="B110" s="2">
        <v>44894</v>
      </c>
      <c r="C110" s="2">
        <v>49366</v>
      </c>
      <c r="D110" s="2">
        <v>49366</v>
      </c>
      <c r="E110" s="37" t="s">
        <v>422</v>
      </c>
      <c r="F110" s="2">
        <f t="shared" si="5"/>
        <v>49366</v>
      </c>
      <c r="G110" t="str">
        <f t="shared" si="6"/>
        <v>NG</v>
      </c>
      <c r="H110" s="35" t="str">
        <f t="shared" si="4"/>
        <v>NYMEX</v>
      </c>
      <c r="I110" t="str" cm="1">
        <f t="array" ref="I110">IFERROR(INDEX(Spreads!A:A,MATCH(1, (Spreads!E:E=G110)*(Spreads!C:C&gt;=F110), 0)),"---")</f>
        <v>---</v>
      </c>
      <c r="J110" s="40" t="str">
        <f>IFERROR(INDEX(Spreads!C:C, MATCH('CME Data'!I110,Spreads!A:A,0)),"---")</f>
        <v>---</v>
      </c>
      <c r="K110" s="40">
        <f t="shared" si="7"/>
        <v>49366</v>
      </c>
    </row>
    <row r="111" spans="1:11" x14ac:dyDescent="0.2">
      <c r="A111" s="18" t="s">
        <v>195</v>
      </c>
      <c r="B111" s="2">
        <v>44894</v>
      </c>
      <c r="C111" s="2">
        <v>49396</v>
      </c>
      <c r="D111" s="2">
        <v>49396</v>
      </c>
      <c r="E111" s="37" t="s">
        <v>422</v>
      </c>
      <c r="F111" s="2">
        <f t="shared" si="5"/>
        <v>49396</v>
      </c>
      <c r="G111" t="str">
        <f t="shared" si="6"/>
        <v>NG</v>
      </c>
      <c r="H111" s="35" t="str">
        <f t="shared" si="4"/>
        <v>NYMEX</v>
      </c>
      <c r="I111" t="str" cm="1">
        <f t="array" ref="I111">IFERROR(INDEX(Spreads!A:A,MATCH(1, (Spreads!E:E=G111)*(Spreads!C:C&gt;=F111), 0)),"---")</f>
        <v>---</v>
      </c>
      <c r="J111" s="40" t="str">
        <f>IFERROR(INDEX(Spreads!C:C, MATCH('CME Data'!I111,Spreads!A:A,0)),"---")</f>
        <v>---</v>
      </c>
      <c r="K111" s="40">
        <f t="shared" si="7"/>
        <v>49396</v>
      </c>
    </row>
    <row r="112" spans="1:11" x14ac:dyDescent="0.2">
      <c r="A112" s="18" t="s">
        <v>196</v>
      </c>
      <c r="B112" s="2">
        <v>44894</v>
      </c>
      <c r="C112" s="2">
        <v>49425</v>
      </c>
      <c r="D112" s="2">
        <v>49425</v>
      </c>
      <c r="E112" s="37" t="s">
        <v>422</v>
      </c>
      <c r="F112" s="2">
        <f t="shared" si="5"/>
        <v>49425</v>
      </c>
      <c r="G112" t="str">
        <f t="shared" si="6"/>
        <v>NG</v>
      </c>
      <c r="H112" s="35" t="str">
        <f t="shared" si="4"/>
        <v>NYMEX</v>
      </c>
      <c r="I112" t="str" cm="1">
        <f t="array" ref="I112">IFERROR(INDEX(Spreads!A:A,MATCH(1, (Spreads!E:E=G112)*(Spreads!C:C&gt;=F112), 0)),"---")</f>
        <v>---</v>
      </c>
      <c r="J112" s="40" t="str">
        <f>IFERROR(INDEX(Spreads!C:C, MATCH('CME Data'!I112,Spreads!A:A,0)),"---")</f>
        <v>---</v>
      </c>
      <c r="K112" s="40">
        <f t="shared" si="7"/>
        <v>49425</v>
      </c>
    </row>
    <row r="113" spans="1:11" x14ac:dyDescent="0.2">
      <c r="A113" s="18" t="s">
        <v>197</v>
      </c>
      <c r="B113" s="2">
        <v>44894</v>
      </c>
      <c r="C113" s="2">
        <v>49458</v>
      </c>
      <c r="D113" s="2">
        <v>49458</v>
      </c>
      <c r="E113" s="37" t="s">
        <v>422</v>
      </c>
      <c r="F113" s="2">
        <f t="shared" si="5"/>
        <v>49458</v>
      </c>
      <c r="G113" t="str">
        <f t="shared" si="6"/>
        <v>NG</v>
      </c>
      <c r="H113" s="35" t="str">
        <f t="shared" si="4"/>
        <v>NYMEX</v>
      </c>
      <c r="I113" t="str" cm="1">
        <f t="array" ref="I113">IFERROR(INDEX(Spreads!A:A,MATCH(1, (Spreads!E:E=G113)*(Spreads!C:C&gt;=F113), 0)),"---")</f>
        <v>---</v>
      </c>
      <c r="J113" s="40" t="str">
        <f>IFERROR(INDEX(Spreads!C:C, MATCH('CME Data'!I113,Spreads!A:A,0)),"---")</f>
        <v>---</v>
      </c>
      <c r="K113" s="40">
        <f t="shared" si="7"/>
        <v>49458</v>
      </c>
    </row>
    <row r="114" spans="1:11" x14ac:dyDescent="0.2">
      <c r="A114" s="18" t="s">
        <v>198</v>
      </c>
      <c r="B114" s="2">
        <v>44894</v>
      </c>
      <c r="C114" s="2">
        <v>49487</v>
      </c>
      <c r="D114" s="2">
        <v>49487</v>
      </c>
      <c r="E114" s="37" t="s">
        <v>422</v>
      </c>
      <c r="F114" s="2">
        <f t="shared" si="5"/>
        <v>49487</v>
      </c>
      <c r="G114" t="str">
        <f t="shared" si="6"/>
        <v>NG</v>
      </c>
      <c r="H114" s="35" t="str">
        <f t="shared" si="4"/>
        <v>NYMEX</v>
      </c>
      <c r="I114" t="str" cm="1">
        <f t="array" ref="I114">IFERROR(INDEX(Spreads!A:A,MATCH(1, (Spreads!E:E=G114)*(Spreads!C:C&gt;=F114), 0)),"---")</f>
        <v>---</v>
      </c>
      <c r="J114" s="40" t="str">
        <f>IFERROR(INDEX(Spreads!C:C, MATCH('CME Data'!I114,Spreads!A:A,0)),"---")</f>
        <v>---</v>
      </c>
      <c r="K114" s="40">
        <f t="shared" si="7"/>
        <v>49487</v>
      </c>
    </row>
    <row r="115" spans="1:11" x14ac:dyDescent="0.2">
      <c r="A115" s="18" t="s">
        <v>199</v>
      </c>
      <c r="B115" s="2">
        <v>44894</v>
      </c>
      <c r="C115" s="2">
        <v>49517</v>
      </c>
      <c r="D115" s="2">
        <v>49517</v>
      </c>
      <c r="E115" s="37" t="s">
        <v>422</v>
      </c>
      <c r="F115" s="2">
        <f t="shared" si="5"/>
        <v>49517</v>
      </c>
      <c r="G115" t="str">
        <f t="shared" si="6"/>
        <v>NG</v>
      </c>
      <c r="H115" s="35" t="str">
        <f t="shared" si="4"/>
        <v>NYMEX</v>
      </c>
      <c r="I115" t="str" cm="1">
        <f t="array" ref="I115">IFERROR(INDEX(Spreads!A:A,MATCH(1, (Spreads!E:E=G115)*(Spreads!C:C&gt;=F115), 0)),"---")</f>
        <v>---</v>
      </c>
      <c r="J115" s="40" t="str">
        <f>IFERROR(INDEX(Spreads!C:C, MATCH('CME Data'!I115,Spreads!A:A,0)),"---")</f>
        <v>---</v>
      </c>
      <c r="K115" s="40">
        <f t="shared" si="7"/>
        <v>49517</v>
      </c>
    </row>
    <row r="116" spans="1:11" x14ac:dyDescent="0.2">
      <c r="A116" s="18" t="s">
        <v>200</v>
      </c>
      <c r="B116" s="2">
        <v>44894</v>
      </c>
      <c r="C116" s="2">
        <v>49550</v>
      </c>
      <c r="D116" s="2">
        <v>49550</v>
      </c>
      <c r="E116" s="37" t="s">
        <v>422</v>
      </c>
      <c r="F116" s="2">
        <f t="shared" si="5"/>
        <v>49550</v>
      </c>
      <c r="G116" t="str">
        <f t="shared" si="6"/>
        <v>NG</v>
      </c>
      <c r="H116" s="35" t="str">
        <f t="shared" si="4"/>
        <v>NYMEX</v>
      </c>
      <c r="I116" t="str" cm="1">
        <f t="array" ref="I116">IFERROR(INDEX(Spreads!A:A,MATCH(1, (Spreads!E:E=G116)*(Spreads!C:C&gt;=F116), 0)),"---")</f>
        <v>---</v>
      </c>
      <c r="J116" s="40" t="str">
        <f>IFERROR(INDEX(Spreads!C:C, MATCH('CME Data'!I116,Spreads!A:A,0)),"---")</f>
        <v>---</v>
      </c>
      <c r="K116" s="40">
        <f t="shared" si="7"/>
        <v>49550</v>
      </c>
    </row>
    <row r="117" spans="1:11" x14ac:dyDescent="0.2">
      <c r="A117" s="18" t="s">
        <v>201</v>
      </c>
      <c r="B117" s="2">
        <v>44894</v>
      </c>
      <c r="C117" s="2">
        <v>49578</v>
      </c>
      <c r="D117" s="2">
        <v>49578</v>
      </c>
      <c r="E117" s="37" t="s">
        <v>422</v>
      </c>
      <c r="F117" s="2">
        <f t="shared" si="5"/>
        <v>49578</v>
      </c>
      <c r="G117" t="str">
        <f t="shared" si="6"/>
        <v>NG</v>
      </c>
      <c r="H117" s="35" t="str">
        <f t="shared" si="4"/>
        <v>NYMEX</v>
      </c>
      <c r="I117" t="str" cm="1">
        <f t="array" ref="I117">IFERROR(INDEX(Spreads!A:A,MATCH(1, (Spreads!E:E=G117)*(Spreads!C:C&gt;=F117), 0)),"---")</f>
        <v>---</v>
      </c>
      <c r="J117" s="40" t="str">
        <f>IFERROR(INDEX(Spreads!C:C, MATCH('CME Data'!I117,Spreads!A:A,0)),"---")</f>
        <v>---</v>
      </c>
      <c r="K117" s="40">
        <f t="shared" si="7"/>
        <v>49578</v>
      </c>
    </row>
    <row r="118" spans="1:11" x14ac:dyDescent="0.2">
      <c r="A118" s="18" t="s">
        <v>202</v>
      </c>
      <c r="B118" s="2">
        <v>44894</v>
      </c>
      <c r="C118" s="2">
        <v>49611</v>
      </c>
      <c r="D118" s="2">
        <v>49611</v>
      </c>
      <c r="E118" s="37" t="s">
        <v>422</v>
      </c>
      <c r="F118" s="2">
        <f t="shared" si="5"/>
        <v>49611</v>
      </c>
      <c r="G118" t="str">
        <f t="shared" si="6"/>
        <v>NG</v>
      </c>
      <c r="H118" s="35" t="str">
        <f t="shared" si="4"/>
        <v>NYMEX</v>
      </c>
      <c r="I118" t="str" cm="1">
        <f t="array" ref="I118">IFERROR(INDEX(Spreads!A:A,MATCH(1, (Spreads!E:E=G118)*(Spreads!C:C&gt;=F118), 0)),"---")</f>
        <v>---</v>
      </c>
      <c r="J118" s="40" t="str">
        <f>IFERROR(INDEX(Spreads!C:C, MATCH('CME Data'!I118,Spreads!A:A,0)),"---")</f>
        <v>---</v>
      </c>
      <c r="K118" s="40">
        <f t="shared" si="7"/>
        <v>49611</v>
      </c>
    </row>
    <row r="119" spans="1:11" x14ac:dyDescent="0.2">
      <c r="A119" s="18" t="s">
        <v>203</v>
      </c>
      <c r="B119" s="2">
        <v>44894</v>
      </c>
      <c r="C119" s="2">
        <v>49641</v>
      </c>
      <c r="D119" s="2">
        <v>49641</v>
      </c>
      <c r="E119" s="37" t="s">
        <v>422</v>
      </c>
      <c r="F119" s="2">
        <f t="shared" si="5"/>
        <v>49641</v>
      </c>
      <c r="G119" t="str">
        <f t="shared" si="6"/>
        <v>NG</v>
      </c>
      <c r="H119" s="35" t="str">
        <f t="shared" si="4"/>
        <v>NYMEX</v>
      </c>
      <c r="I119" t="str" cm="1">
        <f t="array" ref="I119">IFERROR(INDEX(Spreads!A:A,MATCH(1, (Spreads!E:E=G119)*(Spreads!C:C&gt;=F119), 0)),"---")</f>
        <v>---</v>
      </c>
      <c r="J119" s="40" t="str">
        <f>IFERROR(INDEX(Spreads!C:C, MATCH('CME Data'!I119,Spreads!A:A,0)),"---")</f>
        <v>---</v>
      </c>
      <c r="K119" s="40">
        <f t="shared" si="7"/>
        <v>49641</v>
      </c>
    </row>
    <row r="120" spans="1:11" x14ac:dyDescent="0.2">
      <c r="A120" s="18" t="s">
        <v>204</v>
      </c>
      <c r="B120" s="2">
        <v>45259</v>
      </c>
      <c r="C120" s="2">
        <v>49670</v>
      </c>
      <c r="D120" s="2">
        <v>49670</v>
      </c>
      <c r="E120" s="37" t="s">
        <v>422</v>
      </c>
      <c r="F120" s="2">
        <f t="shared" si="5"/>
        <v>49670</v>
      </c>
      <c r="G120" t="str">
        <f t="shared" si="6"/>
        <v>NG</v>
      </c>
      <c r="H120" s="35" t="str">
        <f t="shared" si="4"/>
        <v>NYMEX</v>
      </c>
      <c r="I120" t="str" cm="1">
        <f t="array" ref="I120">IFERROR(INDEX(Spreads!A:A,MATCH(1, (Spreads!E:E=G120)*(Spreads!C:C&gt;=F120), 0)),"---")</f>
        <v>---</v>
      </c>
      <c r="J120" s="40" t="str">
        <f>IFERROR(INDEX(Spreads!C:C, MATCH('CME Data'!I120,Spreads!A:A,0)),"---")</f>
        <v>---</v>
      </c>
      <c r="K120" s="40">
        <f t="shared" si="7"/>
        <v>49670</v>
      </c>
    </row>
    <row r="121" spans="1:11" x14ac:dyDescent="0.2">
      <c r="A121" s="18" t="s">
        <v>205</v>
      </c>
      <c r="B121" s="2">
        <v>45259</v>
      </c>
      <c r="C121" s="2">
        <v>49703</v>
      </c>
      <c r="D121" s="2">
        <v>49703</v>
      </c>
      <c r="E121" s="37" t="s">
        <v>422</v>
      </c>
      <c r="F121" s="2">
        <f t="shared" si="5"/>
        <v>49703</v>
      </c>
      <c r="G121" t="str">
        <f t="shared" si="6"/>
        <v>NG</v>
      </c>
      <c r="H121" s="35" t="str">
        <f t="shared" si="4"/>
        <v>NYMEX</v>
      </c>
      <c r="I121" t="str" cm="1">
        <f t="array" ref="I121">IFERROR(INDEX(Spreads!A:A,MATCH(1, (Spreads!E:E=G121)*(Spreads!C:C&gt;=F121), 0)),"---")</f>
        <v>---</v>
      </c>
      <c r="J121" s="40" t="str">
        <f>IFERROR(INDEX(Spreads!C:C, MATCH('CME Data'!I121,Spreads!A:A,0)),"---")</f>
        <v>---</v>
      </c>
      <c r="K121" s="40">
        <f t="shared" si="7"/>
        <v>49703</v>
      </c>
    </row>
    <row r="122" spans="1:11" x14ac:dyDescent="0.2">
      <c r="A122" s="18" t="s">
        <v>206</v>
      </c>
      <c r="B122" s="2">
        <v>45259</v>
      </c>
      <c r="C122" s="2">
        <v>49732</v>
      </c>
      <c r="D122" s="2">
        <v>49732</v>
      </c>
      <c r="E122" s="37" t="s">
        <v>422</v>
      </c>
      <c r="F122" s="2">
        <f t="shared" si="5"/>
        <v>49732</v>
      </c>
      <c r="G122" t="str">
        <f t="shared" si="6"/>
        <v>NG</v>
      </c>
      <c r="H122" s="35" t="str">
        <f t="shared" si="4"/>
        <v>NYMEX</v>
      </c>
      <c r="I122" t="str" cm="1">
        <f t="array" ref="I122">IFERROR(INDEX(Spreads!A:A,MATCH(1, (Spreads!E:E=G122)*(Spreads!C:C&gt;=F122), 0)),"---")</f>
        <v>---</v>
      </c>
      <c r="J122" s="40" t="str">
        <f>IFERROR(INDEX(Spreads!C:C, MATCH('CME Data'!I122,Spreads!A:A,0)),"---")</f>
        <v>---</v>
      </c>
      <c r="K122" s="40">
        <f t="shared" si="7"/>
        <v>49732</v>
      </c>
    </row>
    <row r="123" spans="1:11" x14ac:dyDescent="0.2">
      <c r="A123" s="18" t="s">
        <v>207</v>
      </c>
      <c r="B123" s="2">
        <v>45259</v>
      </c>
      <c r="C123" s="2">
        <v>49761</v>
      </c>
      <c r="D123" s="2">
        <v>49761</v>
      </c>
      <c r="E123" s="37" t="s">
        <v>422</v>
      </c>
      <c r="F123" s="2">
        <f t="shared" si="5"/>
        <v>49761</v>
      </c>
      <c r="G123" t="str">
        <f t="shared" si="6"/>
        <v>NG</v>
      </c>
      <c r="H123" s="35" t="str">
        <f t="shared" si="4"/>
        <v>NYMEX</v>
      </c>
      <c r="I123" t="str" cm="1">
        <f t="array" ref="I123">IFERROR(INDEX(Spreads!A:A,MATCH(1, (Spreads!E:E=G123)*(Spreads!C:C&gt;=F123), 0)),"---")</f>
        <v>---</v>
      </c>
      <c r="J123" s="40" t="str">
        <f>IFERROR(INDEX(Spreads!C:C, MATCH('CME Data'!I123,Spreads!A:A,0)),"---")</f>
        <v>---</v>
      </c>
      <c r="K123" s="40">
        <f t="shared" si="7"/>
        <v>49761</v>
      </c>
    </row>
    <row r="124" spans="1:11" x14ac:dyDescent="0.2">
      <c r="A124" s="18" t="s">
        <v>208</v>
      </c>
      <c r="B124" s="2">
        <v>45259</v>
      </c>
      <c r="C124" s="2">
        <v>49793</v>
      </c>
      <c r="D124" s="2">
        <v>49793</v>
      </c>
      <c r="E124" s="37" t="s">
        <v>422</v>
      </c>
      <c r="F124" s="2">
        <f t="shared" si="5"/>
        <v>49793</v>
      </c>
      <c r="G124" t="str">
        <f t="shared" si="6"/>
        <v>NG</v>
      </c>
      <c r="H124" s="35" t="str">
        <f t="shared" si="4"/>
        <v>NYMEX</v>
      </c>
      <c r="I124" t="str" cm="1">
        <f t="array" ref="I124">IFERROR(INDEX(Spreads!A:A,MATCH(1, (Spreads!E:E=G124)*(Spreads!C:C&gt;=F124), 0)),"---")</f>
        <v>---</v>
      </c>
      <c r="J124" s="40" t="str">
        <f>IFERROR(INDEX(Spreads!C:C, MATCH('CME Data'!I124,Spreads!A:A,0)),"---")</f>
        <v>---</v>
      </c>
      <c r="K124" s="40">
        <f t="shared" si="7"/>
        <v>49793</v>
      </c>
    </row>
    <row r="125" spans="1:11" x14ac:dyDescent="0.2">
      <c r="A125" s="18" t="s">
        <v>209</v>
      </c>
      <c r="B125" s="2">
        <v>45259</v>
      </c>
      <c r="C125" s="2">
        <v>49823</v>
      </c>
      <c r="D125" s="2">
        <v>49823</v>
      </c>
      <c r="E125" s="37" t="s">
        <v>422</v>
      </c>
      <c r="F125" s="2">
        <f t="shared" si="5"/>
        <v>49823</v>
      </c>
      <c r="G125" t="str">
        <f t="shared" si="6"/>
        <v>NG</v>
      </c>
      <c r="H125" s="35" t="str">
        <f t="shared" si="4"/>
        <v>NYMEX</v>
      </c>
      <c r="I125" t="str" cm="1">
        <f t="array" ref="I125">IFERROR(INDEX(Spreads!A:A,MATCH(1, (Spreads!E:E=G125)*(Spreads!C:C&gt;=F125), 0)),"---")</f>
        <v>---</v>
      </c>
      <c r="J125" s="40" t="str">
        <f>IFERROR(INDEX(Spreads!C:C, MATCH('CME Data'!I125,Spreads!A:A,0)),"---")</f>
        <v>---</v>
      </c>
      <c r="K125" s="40">
        <f t="shared" si="7"/>
        <v>49823</v>
      </c>
    </row>
    <row r="126" spans="1:11" x14ac:dyDescent="0.2">
      <c r="A126" s="18" t="s">
        <v>210</v>
      </c>
      <c r="B126" s="2">
        <v>45259</v>
      </c>
      <c r="C126" s="2">
        <v>49852</v>
      </c>
      <c r="D126" s="2">
        <v>49852</v>
      </c>
      <c r="E126" s="37" t="s">
        <v>422</v>
      </c>
      <c r="F126" s="2">
        <f t="shared" si="5"/>
        <v>49852</v>
      </c>
      <c r="G126" t="str">
        <f t="shared" si="6"/>
        <v>NG</v>
      </c>
      <c r="H126" s="35" t="str">
        <f t="shared" si="4"/>
        <v>NYMEX</v>
      </c>
      <c r="I126" t="str" cm="1">
        <f t="array" ref="I126">IFERROR(INDEX(Spreads!A:A,MATCH(1, (Spreads!E:E=G126)*(Spreads!C:C&gt;=F126), 0)),"---")</f>
        <v>---</v>
      </c>
      <c r="J126" s="40" t="str">
        <f>IFERROR(INDEX(Spreads!C:C, MATCH('CME Data'!I126,Spreads!A:A,0)),"---")</f>
        <v>---</v>
      </c>
      <c r="K126" s="40">
        <f t="shared" si="7"/>
        <v>49852</v>
      </c>
    </row>
    <row r="127" spans="1:11" x14ac:dyDescent="0.2">
      <c r="A127" s="18" t="s">
        <v>211</v>
      </c>
      <c r="B127" s="2">
        <v>45259</v>
      </c>
      <c r="C127" s="2">
        <v>49885</v>
      </c>
      <c r="D127" s="2">
        <v>49885</v>
      </c>
      <c r="E127" s="37" t="s">
        <v>422</v>
      </c>
      <c r="F127" s="2">
        <f t="shared" si="5"/>
        <v>49885</v>
      </c>
      <c r="G127" t="str">
        <f t="shared" si="6"/>
        <v>NG</v>
      </c>
      <c r="H127" s="35" t="str">
        <f t="shared" si="4"/>
        <v>NYMEX</v>
      </c>
      <c r="I127" t="str" cm="1">
        <f t="array" ref="I127">IFERROR(INDEX(Spreads!A:A,MATCH(1, (Spreads!E:E=G127)*(Spreads!C:C&gt;=F127), 0)),"---")</f>
        <v>---</v>
      </c>
      <c r="J127" s="40" t="str">
        <f>IFERROR(INDEX(Spreads!C:C, MATCH('CME Data'!I127,Spreads!A:A,0)),"---")</f>
        <v>---</v>
      </c>
      <c r="K127" s="40">
        <f t="shared" si="7"/>
        <v>49885</v>
      </c>
    </row>
    <row r="128" spans="1:11" x14ac:dyDescent="0.2">
      <c r="A128" s="18" t="s">
        <v>212</v>
      </c>
      <c r="B128" s="2">
        <v>45259</v>
      </c>
      <c r="C128" s="2">
        <v>49914</v>
      </c>
      <c r="D128" s="2">
        <v>49914</v>
      </c>
      <c r="E128" s="37" t="s">
        <v>422</v>
      </c>
      <c r="F128" s="2">
        <f t="shared" si="5"/>
        <v>49914</v>
      </c>
      <c r="G128" t="str">
        <f t="shared" si="6"/>
        <v>NG</v>
      </c>
      <c r="H128" s="35" t="str">
        <f t="shared" si="4"/>
        <v>NYMEX</v>
      </c>
      <c r="I128" t="str" cm="1">
        <f t="array" ref="I128">IFERROR(INDEX(Spreads!A:A,MATCH(1, (Spreads!E:E=G128)*(Spreads!C:C&gt;=F128), 0)),"---")</f>
        <v>---</v>
      </c>
      <c r="J128" s="40" t="str">
        <f>IFERROR(INDEX(Spreads!C:C, MATCH('CME Data'!I128,Spreads!A:A,0)),"---")</f>
        <v>---</v>
      </c>
      <c r="K128" s="40">
        <f t="shared" si="7"/>
        <v>49914</v>
      </c>
    </row>
    <row r="129" spans="1:11" x14ac:dyDescent="0.2">
      <c r="A129" s="18" t="s">
        <v>213</v>
      </c>
      <c r="B129" s="2">
        <v>45259</v>
      </c>
      <c r="C129" s="2">
        <v>49944</v>
      </c>
      <c r="D129" s="2">
        <v>49944</v>
      </c>
      <c r="E129" s="37" t="s">
        <v>422</v>
      </c>
      <c r="F129" s="2">
        <f t="shared" si="5"/>
        <v>49944</v>
      </c>
      <c r="G129" t="str">
        <f t="shared" si="6"/>
        <v>NG</v>
      </c>
      <c r="H129" s="35" t="str">
        <f t="shared" si="4"/>
        <v>NYMEX</v>
      </c>
      <c r="I129" t="str" cm="1">
        <f t="array" ref="I129">IFERROR(INDEX(Spreads!A:A,MATCH(1, (Spreads!E:E=G129)*(Spreads!C:C&gt;=F129), 0)),"---")</f>
        <v>---</v>
      </c>
      <c r="J129" s="40" t="str">
        <f>IFERROR(INDEX(Spreads!C:C, MATCH('CME Data'!I129,Spreads!A:A,0)),"---")</f>
        <v>---</v>
      </c>
      <c r="K129" s="40">
        <f t="shared" si="7"/>
        <v>49944</v>
      </c>
    </row>
    <row r="130" spans="1:11" x14ac:dyDescent="0.2">
      <c r="A130" s="18" t="s">
        <v>214</v>
      </c>
      <c r="B130" s="2">
        <v>45259</v>
      </c>
      <c r="C130" s="2">
        <v>49977</v>
      </c>
      <c r="D130" s="2">
        <v>49977</v>
      </c>
      <c r="E130" s="37" t="s">
        <v>422</v>
      </c>
      <c r="F130" s="2">
        <f t="shared" si="5"/>
        <v>49977</v>
      </c>
      <c r="G130" t="str">
        <f t="shared" si="6"/>
        <v>NG</v>
      </c>
      <c r="H130" s="35" t="str">
        <f t="shared" si="4"/>
        <v>NYMEX</v>
      </c>
      <c r="I130" t="str" cm="1">
        <f t="array" ref="I130">IFERROR(INDEX(Spreads!A:A,MATCH(1, (Spreads!E:E=G130)*(Spreads!C:C&gt;=F130), 0)),"---")</f>
        <v>---</v>
      </c>
      <c r="J130" s="40" t="str">
        <f>IFERROR(INDEX(Spreads!C:C, MATCH('CME Data'!I130,Spreads!A:A,0)),"---")</f>
        <v>---</v>
      </c>
      <c r="K130" s="40">
        <f t="shared" si="7"/>
        <v>49977</v>
      </c>
    </row>
    <row r="131" spans="1:11" x14ac:dyDescent="0.2">
      <c r="A131" s="18" t="s">
        <v>215</v>
      </c>
      <c r="B131" s="2">
        <v>45259</v>
      </c>
      <c r="C131" s="2">
        <v>50004</v>
      </c>
      <c r="D131" s="2">
        <v>50004</v>
      </c>
      <c r="E131" s="37" t="s">
        <v>422</v>
      </c>
      <c r="F131" s="2">
        <f t="shared" si="5"/>
        <v>50004</v>
      </c>
      <c r="G131" t="str">
        <f t="shared" si="6"/>
        <v>NG</v>
      </c>
      <c r="H131" s="35" t="str">
        <f t="shared" ref="H131:H194" si="8">IFERROR(INDEX(O:O, MATCH(G131,N:N,0)),"---")</f>
        <v>NYMEX</v>
      </c>
      <c r="I131" t="str" cm="1">
        <f t="array" ref="I131">IFERROR(INDEX(Spreads!A:A,MATCH(1, (Spreads!E:E=G131)*(Spreads!C:C&gt;=F131), 0)),"---")</f>
        <v>---</v>
      </c>
      <c r="J131" s="40" t="str">
        <f>IFERROR(INDEX(Spreads!C:C, MATCH('CME Data'!I131,Spreads!A:A,0)),"---")</f>
        <v>---</v>
      </c>
      <c r="K131" s="40">
        <f t="shared" si="7"/>
        <v>50004</v>
      </c>
    </row>
    <row r="132" spans="1:11" x14ac:dyDescent="0.2">
      <c r="A132" s="18" t="s">
        <v>216</v>
      </c>
      <c r="B132" s="2">
        <v>45623</v>
      </c>
      <c r="C132" s="2">
        <v>50038</v>
      </c>
      <c r="D132" s="2">
        <v>50038</v>
      </c>
      <c r="E132" s="37" t="s">
        <v>422</v>
      </c>
      <c r="F132" s="2">
        <f t="shared" ref="F132:F195" si="9">MIN(C132:E132)</f>
        <v>50038</v>
      </c>
      <c r="G132" t="str">
        <f t="shared" ref="G132:G195" si="10">MID(A132,1,LEN(A132)-3)</f>
        <v>NG</v>
      </c>
      <c r="H132" s="35" t="str">
        <f t="shared" si="8"/>
        <v>NYMEX</v>
      </c>
      <c r="I132" t="str" cm="1">
        <f t="array" ref="I132">IFERROR(INDEX(Spreads!A:A,MATCH(1, (Spreads!E:E=G132)*(Spreads!C:C&gt;=F132), 0)),"---")</f>
        <v>---</v>
      </c>
      <c r="J132" s="40" t="str">
        <f>IFERROR(INDEX(Spreads!C:C, MATCH('CME Data'!I132,Spreads!A:A,0)),"---")</f>
        <v>---</v>
      </c>
      <c r="K132" s="40">
        <f t="shared" ref="K132:K195" si="11">MIN(J132,F132)</f>
        <v>50038</v>
      </c>
    </row>
    <row r="133" spans="1:11" x14ac:dyDescent="0.2">
      <c r="A133" s="18" t="s">
        <v>217</v>
      </c>
      <c r="B133" s="2">
        <v>45623</v>
      </c>
      <c r="C133" s="2">
        <v>50068</v>
      </c>
      <c r="D133" s="2">
        <v>50068</v>
      </c>
      <c r="E133" s="37" t="s">
        <v>422</v>
      </c>
      <c r="F133" s="2">
        <f t="shared" si="9"/>
        <v>50068</v>
      </c>
      <c r="G133" t="str">
        <f t="shared" si="10"/>
        <v>NG</v>
      </c>
      <c r="H133" s="35" t="str">
        <f t="shared" si="8"/>
        <v>NYMEX</v>
      </c>
      <c r="I133" t="str" cm="1">
        <f t="array" ref="I133">IFERROR(INDEX(Spreads!A:A,MATCH(1, (Spreads!E:E=G133)*(Spreads!C:C&gt;=F133), 0)),"---")</f>
        <v>---</v>
      </c>
      <c r="J133" s="40" t="str">
        <f>IFERROR(INDEX(Spreads!C:C, MATCH('CME Data'!I133,Spreads!A:A,0)),"---")</f>
        <v>---</v>
      </c>
      <c r="K133" s="40">
        <f t="shared" si="11"/>
        <v>50068</v>
      </c>
    </row>
    <row r="134" spans="1:11" x14ac:dyDescent="0.2">
      <c r="A134" s="18" t="s">
        <v>218</v>
      </c>
      <c r="B134" s="2">
        <v>45623</v>
      </c>
      <c r="C134" s="2">
        <v>50096</v>
      </c>
      <c r="D134" s="2">
        <v>50096</v>
      </c>
      <c r="E134" s="37" t="s">
        <v>422</v>
      </c>
      <c r="F134" s="2">
        <f t="shared" si="9"/>
        <v>50096</v>
      </c>
      <c r="G134" t="str">
        <f t="shared" si="10"/>
        <v>NG</v>
      </c>
      <c r="H134" s="35" t="str">
        <f t="shared" si="8"/>
        <v>NYMEX</v>
      </c>
      <c r="I134" t="str" cm="1">
        <f t="array" ref="I134">IFERROR(INDEX(Spreads!A:A,MATCH(1, (Spreads!E:E=G134)*(Spreads!C:C&gt;=F134), 0)),"---")</f>
        <v>---</v>
      </c>
      <c r="J134" s="40" t="str">
        <f>IFERROR(INDEX(Spreads!C:C, MATCH('CME Data'!I134,Spreads!A:A,0)),"---")</f>
        <v>---</v>
      </c>
      <c r="K134" s="40">
        <f t="shared" si="11"/>
        <v>50096</v>
      </c>
    </row>
    <row r="135" spans="1:11" x14ac:dyDescent="0.2">
      <c r="A135" s="18" t="s">
        <v>219</v>
      </c>
      <c r="B135" s="2">
        <v>45623</v>
      </c>
      <c r="C135" s="2">
        <v>50126</v>
      </c>
      <c r="D135" s="2">
        <v>50126</v>
      </c>
      <c r="E135" s="37" t="s">
        <v>422</v>
      </c>
      <c r="F135" s="2">
        <f t="shared" si="9"/>
        <v>50126</v>
      </c>
      <c r="G135" t="str">
        <f t="shared" si="10"/>
        <v>NG</v>
      </c>
      <c r="H135" s="35" t="str">
        <f t="shared" si="8"/>
        <v>NYMEX</v>
      </c>
      <c r="I135" t="str" cm="1">
        <f t="array" ref="I135">IFERROR(INDEX(Spreads!A:A,MATCH(1, (Spreads!E:E=G135)*(Spreads!C:C&gt;=F135), 0)),"---")</f>
        <v>---</v>
      </c>
      <c r="J135" s="40" t="str">
        <f>IFERROR(INDEX(Spreads!C:C, MATCH('CME Data'!I135,Spreads!A:A,0)),"---")</f>
        <v>---</v>
      </c>
      <c r="K135" s="40">
        <f t="shared" si="11"/>
        <v>50126</v>
      </c>
    </row>
    <row r="136" spans="1:11" x14ac:dyDescent="0.2">
      <c r="A136" s="18" t="s">
        <v>220</v>
      </c>
      <c r="B136" s="2">
        <v>45623</v>
      </c>
      <c r="C136" s="2">
        <v>50158</v>
      </c>
      <c r="D136" s="2">
        <v>50158</v>
      </c>
      <c r="E136" s="37" t="s">
        <v>422</v>
      </c>
      <c r="F136" s="2">
        <f t="shared" si="9"/>
        <v>50158</v>
      </c>
      <c r="G136" t="str">
        <f t="shared" si="10"/>
        <v>NG</v>
      </c>
      <c r="H136" s="35" t="str">
        <f t="shared" si="8"/>
        <v>NYMEX</v>
      </c>
      <c r="I136" t="str" cm="1">
        <f t="array" ref="I136">IFERROR(INDEX(Spreads!A:A,MATCH(1, (Spreads!E:E=G136)*(Spreads!C:C&gt;=F136), 0)),"---")</f>
        <v>---</v>
      </c>
      <c r="J136" s="40" t="str">
        <f>IFERROR(INDEX(Spreads!C:C, MATCH('CME Data'!I136,Spreads!A:A,0)),"---")</f>
        <v>---</v>
      </c>
      <c r="K136" s="40">
        <f t="shared" si="11"/>
        <v>50158</v>
      </c>
    </row>
    <row r="137" spans="1:11" x14ac:dyDescent="0.2">
      <c r="A137" s="18" t="s">
        <v>221</v>
      </c>
      <c r="B137" s="2">
        <v>45623</v>
      </c>
      <c r="C137" s="2">
        <v>50187</v>
      </c>
      <c r="D137" s="2">
        <v>50187</v>
      </c>
      <c r="E137" s="37" t="s">
        <v>422</v>
      </c>
      <c r="F137" s="2">
        <f t="shared" si="9"/>
        <v>50187</v>
      </c>
      <c r="G137" t="str">
        <f t="shared" si="10"/>
        <v>NG</v>
      </c>
      <c r="H137" s="35" t="str">
        <f t="shared" si="8"/>
        <v>NYMEX</v>
      </c>
      <c r="I137" t="str" cm="1">
        <f t="array" ref="I137">IFERROR(INDEX(Spreads!A:A,MATCH(1, (Spreads!E:E=G137)*(Spreads!C:C&gt;=F137), 0)),"---")</f>
        <v>---</v>
      </c>
      <c r="J137" s="40" t="str">
        <f>IFERROR(INDEX(Spreads!C:C, MATCH('CME Data'!I137,Spreads!A:A,0)),"---")</f>
        <v>---</v>
      </c>
      <c r="K137" s="40">
        <f t="shared" si="11"/>
        <v>50187</v>
      </c>
    </row>
    <row r="138" spans="1:11" x14ac:dyDescent="0.2">
      <c r="A138" s="18" t="s">
        <v>222</v>
      </c>
      <c r="B138" s="2">
        <v>45623</v>
      </c>
      <c r="C138" s="2">
        <v>50217</v>
      </c>
      <c r="D138" s="2">
        <v>50217</v>
      </c>
      <c r="E138" s="37" t="s">
        <v>422</v>
      </c>
      <c r="F138" s="2">
        <f t="shared" si="9"/>
        <v>50217</v>
      </c>
      <c r="G138" t="str">
        <f t="shared" si="10"/>
        <v>NG</v>
      </c>
      <c r="H138" s="35" t="str">
        <f t="shared" si="8"/>
        <v>NYMEX</v>
      </c>
      <c r="I138" t="str" cm="1">
        <f t="array" ref="I138">IFERROR(INDEX(Spreads!A:A,MATCH(1, (Spreads!E:E=G138)*(Spreads!C:C&gt;=F138), 0)),"---")</f>
        <v>---</v>
      </c>
      <c r="J138" s="40" t="str">
        <f>IFERROR(INDEX(Spreads!C:C, MATCH('CME Data'!I138,Spreads!A:A,0)),"---")</f>
        <v>---</v>
      </c>
      <c r="K138" s="40">
        <f t="shared" si="11"/>
        <v>50217</v>
      </c>
    </row>
    <row r="139" spans="1:11" x14ac:dyDescent="0.2">
      <c r="A139" s="18" t="s">
        <v>223</v>
      </c>
      <c r="B139" s="2">
        <v>45623</v>
      </c>
      <c r="C139" s="2">
        <v>50250</v>
      </c>
      <c r="D139" s="2">
        <v>50250</v>
      </c>
      <c r="E139" s="37" t="s">
        <v>422</v>
      </c>
      <c r="F139" s="2">
        <f t="shared" si="9"/>
        <v>50250</v>
      </c>
      <c r="G139" t="str">
        <f t="shared" si="10"/>
        <v>NG</v>
      </c>
      <c r="H139" s="35" t="str">
        <f t="shared" si="8"/>
        <v>NYMEX</v>
      </c>
      <c r="I139" t="str" cm="1">
        <f t="array" ref="I139">IFERROR(INDEX(Spreads!A:A,MATCH(1, (Spreads!E:E=G139)*(Spreads!C:C&gt;=F139), 0)),"---")</f>
        <v>---</v>
      </c>
      <c r="J139" s="40" t="str">
        <f>IFERROR(INDEX(Spreads!C:C, MATCH('CME Data'!I139,Spreads!A:A,0)),"---")</f>
        <v>---</v>
      </c>
      <c r="K139" s="40">
        <f t="shared" si="11"/>
        <v>50250</v>
      </c>
    </row>
    <row r="140" spans="1:11" x14ac:dyDescent="0.2">
      <c r="A140" s="18" t="s">
        <v>224</v>
      </c>
      <c r="B140" s="2">
        <v>45623</v>
      </c>
      <c r="C140" s="2">
        <v>50279</v>
      </c>
      <c r="D140" s="2">
        <v>50279</v>
      </c>
      <c r="E140" s="37" t="s">
        <v>422</v>
      </c>
      <c r="F140" s="2">
        <f t="shared" si="9"/>
        <v>50279</v>
      </c>
      <c r="G140" t="str">
        <f t="shared" si="10"/>
        <v>NG</v>
      </c>
      <c r="H140" s="35" t="str">
        <f t="shared" si="8"/>
        <v>NYMEX</v>
      </c>
      <c r="I140" t="str" cm="1">
        <f t="array" ref="I140">IFERROR(INDEX(Spreads!A:A,MATCH(1, (Spreads!E:E=G140)*(Spreads!C:C&gt;=F140), 0)),"---")</f>
        <v>---</v>
      </c>
      <c r="J140" s="40" t="str">
        <f>IFERROR(INDEX(Spreads!C:C, MATCH('CME Data'!I140,Spreads!A:A,0)),"---")</f>
        <v>---</v>
      </c>
      <c r="K140" s="40">
        <f t="shared" si="11"/>
        <v>50279</v>
      </c>
    </row>
    <row r="141" spans="1:11" x14ac:dyDescent="0.2">
      <c r="A141" s="18" t="s">
        <v>225</v>
      </c>
      <c r="B141" s="2">
        <v>45623</v>
      </c>
      <c r="C141" s="2">
        <v>50311</v>
      </c>
      <c r="D141" s="2">
        <v>50311</v>
      </c>
      <c r="E141" s="37" t="s">
        <v>422</v>
      </c>
      <c r="F141" s="2">
        <f t="shared" si="9"/>
        <v>50311</v>
      </c>
      <c r="G141" t="str">
        <f t="shared" si="10"/>
        <v>NG</v>
      </c>
      <c r="H141" s="35" t="str">
        <f t="shared" si="8"/>
        <v>NYMEX</v>
      </c>
      <c r="I141" t="str" cm="1">
        <f t="array" ref="I141">IFERROR(INDEX(Spreads!A:A,MATCH(1, (Spreads!E:E=G141)*(Spreads!C:C&gt;=F141), 0)),"---")</f>
        <v>---</v>
      </c>
      <c r="J141" s="40" t="str">
        <f>IFERROR(INDEX(Spreads!C:C, MATCH('CME Data'!I141,Spreads!A:A,0)),"---")</f>
        <v>---</v>
      </c>
      <c r="K141" s="40">
        <f t="shared" si="11"/>
        <v>50311</v>
      </c>
    </row>
    <row r="142" spans="1:11" x14ac:dyDescent="0.2">
      <c r="A142" s="18" t="s">
        <v>226</v>
      </c>
      <c r="B142" s="2">
        <v>45623</v>
      </c>
      <c r="C142" s="2">
        <v>50341</v>
      </c>
      <c r="D142" s="2">
        <v>50341</v>
      </c>
      <c r="E142" s="37" t="s">
        <v>422</v>
      </c>
      <c r="F142" s="2">
        <f t="shared" si="9"/>
        <v>50341</v>
      </c>
      <c r="G142" t="str">
        <f t="shared" si="10"/>
        <v>NG</v>
      </c>
      <c r="H142" s="35" t="str">
        <f t="shared" si="8"/>
        <v>NYMEX</v>
      </c>
      <c r="I142" t="str" cm="1">
        <f t="array" ref="I142">IFERROR(INDEX(Spreads!A:A,MATCH(1, (Spreads!E:E=G142)*(Spreads!C:C&gt;=F142), 0)),"---")</f>
        <v>---</v>
      </c>
      <c r="J142" s="40" t="str">
        <f>IFERROR(INDEX(Spreads!C:C, MATCH('CME Data'!I142,Spreads!A:A,0)),"---")</f>
        <v>---</v>
      </c>
      <c r="K142" s="40">
        <f t="shared" si="11"/>
        <v>50341</v>
      </c>
    </row>
    <row r="143" spans="1:11" x14ac:dyDescent="0.2">
      <c r="A143" s="18" t="s">
        <v>227</v>
      </c>
      <c r="B143" s="2">
        <v>45623</v>
      </c>
      <c r="C143" s="2">
        <v>50369</v>
      </c>
      <c r="D143" s="2">
        <v>50369</v>
      </c>
      <c r="E143" s="37" t="s">
        <v>422</v>
      </c>
      <c r="F143" s="2">
        <f t="shared" si="9"/>
        <v>50369</v>
      </c>
      <c r="G143" t="str">
        <f t="shared" si="10"/>
        <v>NG</v>
      </c>
      <c r="H143" s="35" t="str">
        <f t="shared" si="8"/>
        <v>NYMEX</v>
      </c>
      <c r="I143" t="str" cm="1">
        <f t="array" ref="I143">IFERROR(INDEX(Spreads!A:A,MATCH(1, (Spreads!E:E=G143)*(Spreads!C:C&gt;=F143), 0)),"---")</f>
        <v>---</v>
      </c>
      <c r="J143" s="40" t="str">
        <f>IFERROR(INDEX(Spreads!C:C, MATCH('CME Data'!I143,Spreads!A:A,0)),"---")</f>
        <v>---</v>
      </c>
      <c r="K143" s="40">
        <f t="shared" si="11"/>
        <v>50369</v>
      </c>
    </row>
    <row r="144" spans="1:11" x14ac:dyDescent="0.2">
      <c r="A144" s="18" t="s">
        <v>228</v>
      </c>
      <c r="B144" s="2">
        <v>45987</v>
      </c>
      <c r="C144" s="2">
        <v>50403</v>
      </c>
      <c r="D144" s="2">
        <v>50403</v>
      </c>
      <c r="E144" s="37" t="s">
        <v>422</v>
      </c>
      <c r="F144" s="2">
        <f t="shared" si="9"/>
        <v>50403</v>
      </c>
      <c r="G144" t="str">
        <f t="shared" si="10"/>
        <v>NG</v>
      </c>
      <c r="H144" s="35" t="str">
        <f t="shared" si="8"/>
        <v>NYMEX</v>
      </c>
      <c r="I144" t="str" cm="1">
        <f t="array" ref="I144">IFERROR(INDEX(Spreads!A:A,MATCH(1, (Spreads!E:E=G144)*(Spreads!C:C&gt;=F144), 0)),"---")</f>
        <v>---</v>
      </c>
      <c r="J144" s="40" t="str">
        <f>IFERROR(INDEX(Spreads!C:C, MATCH('CME Data'!I144,Spreads!A:A,0)),"---")</f>
        <v>---</v>
      </c>
      <c r="K144" s="40">
        <f t="shared" si="11"/>
        <v>50403</v>
      </c>
    </row>
    <row r="145" spans="1:11" x14ac:dyDescent="0.2">
      <c r="A145" s="18" t="s">
        <v>229</v>
      </c>
      <c r="B145" s="2">
        <v>45987</v>
      </c>
      <c r="C145" s="2">
        <v>50432</v>
      </c>
      <c r="D145" s="2">
        <v>50432</v>
      </c>
      <c r="E145" s="37" t="s">
        <v>422</v>
      </c>
      <c r="F145" s="2">
        <f t="shared" si="9"/>
        <v>50432</v>
      </c>
      <c r="G145" t="str">
        <f t="shared" si="10"/>
        <v>NG</v>
      </c>
      <c r="H145" s="35" t="str">
        <f t="shared" si="8"/>
        <v>NYMEX</v>
      </c>
      <c r="I145" t="str" cm="1">
        <f t="array" ref="I145">IFERROR(INDEX(Spreads!A:A,MATCH(1, (Spreads!E:E=G145)*(Spreads!C:C&gt;=F145), 0)),"---")</f>
        <v>---</v>
      </c>
      <c r="J145" s="40" t="str">
        <f>IFERROR(INDEX(Spreads!C:C, MATCH('CME Data'!I145,Spreads!A:A,0)),"---")</f>
        <v>---</v>
      </c>
      <c r="K145" s="40">
        <f t="shared" si="11"/>
        <v>50432</v>
      </c>
    </row>
    <row r="146" spans="1:11" x14ac:dyDescent="0.2">
      <c r="A146" s="18" t="s">
        <v>230</v>
      </c>
      <c r="B146" s="2">
        <v>45987</v>
      </c>
      <c r="C146" s="2">
        <v>50460</v>
      </c>
      <c r="D146" s="2">
        <v>50460</v>
      </c>
      <c r="E146" s="37" t="s">
        <v>422</v>
      </c>
      <c r="F146" s="2">
        <f t="shared" si="9"/>
        <v>50460</v>
      </c>
      <c r="G146" t="str">
        <f t="shared" si="10"/>
        <v>NG</v>
      </c>
      <c r="H146" s="35" t="str">
        <f t="shared" si="8"/>
        <v>NYMEX</v>
      </c>
      <c r="I146" t="str" cm="1">
        <f t="array" ref="I146">IFERROR(INDEX(Spreads!A:A,MATCH(1, (Spreads!E:E=G146)*(Spreads!C:C&gt;=F146), 0)),"---")</f>
        <v>---</v>
      </c>
      <c r="J146" s="40" t="str">
        <f>IFERROR(INDEX(Spreads!C:C, MATCH('CME Data'!I146,Spreads!A:A,0)),"---")</f>
        <v>---</v>
      </c>
      <c r="K146" s="40">
        <f t="shared" si="11"/>
        <v>50460</v>
      </c>
    </row>
    <row r="147" spans="1:11" x14ac:dyDescent="0.2">
      <c r="A147" s="18" t="s">
        <v>231</v>
      </c>
      <c r="B147" s="2">
        <v>45987</v>
      </c>
      <c r="C147" s="2">
        <v>50493</v>
      </c>
      <c r="D147" s="2">
        <v>50493</v>
      </c>
      <c r="E147" s="37" t="s">
        <v>422</v>
      </c>
      <c r="F147" s="2">
        <f t="shared" si="9"/>
        <v>50493</v>
      </c>
      <c r="G147" t="str">
        <f t="shared" si="10"/>
        <v>NG</v>
      </c>
      <c r="H147" s="35" t="str">
        <f t="shared" si="8"/>
        <v>NYMEX</v>
      </c>
      <c r="I147" t="str" cm="1">
        <f t="array" ref="I147">IFERROR(INDEX(Spreads!A:A,MATCH(1, (Spreads!E:E=G147)*(Spreads!C:C&gt;=F147), 0)),"---")</f>
        <v>---</v>
      </c>
      <c r="J147" s="40" t="str">
        <f>IFERROR(INDEX(Spreads!C:C, MATCH('CME Data'!I147,Spreads!A:A,0)),"---")</f>
        <v>---</v>
      </c>
      <c r="K147" s="40">
        <f t="shared" si="11"/>
        <v>50493</v>
      </c>
    </row>
    <row r="148" spans="1:11" x14ac:dyDescent="0.2">
      <c r="A148" s="18" t="s">
        <v>232</v>
      </c>
      <c r="B148" s="2">
        <v>45987</v>
      </c>
      <c r="C148" s="2">
        <v>50523</v>
      </c>
      <c r="D148" s="2">
        <v>50523</v>
      </c>
      <c r="E148" s="37" t="s">
        <v>422</v>
      </c>
      <c r="F148" s="2">
        <f t="shared" si="9"/>
        <v>50523</v>
      </c>
      <c r="G148" t="str">
        <f t="shared" si="10"/>
        <v>NG</v>
      </c>
      <c r="H148" s="35" t="str">
        <f t="shared" si="8"/>
        <v>NYMEX</v>
      </c>
      <c r="I148" t="str" cm="1">
        <f t="array" ref="I148">IFERROR(INDEX(Spreads!A:A,MATCH(1, (Spreads!E:E=G148)*(Spreads!C:C&gt;=F148), 0)),"---")</f>
        <v>---</v>
      </c>
      <c r="J148" s="40" t="str">
        <f>IFERROR(INDEX(Spreads!C:C, MATCH('CME Data'!I148,Spreads!A:A,0)),"---")</f>
        <v>---</v>
      </c>
      <c r="K148" s="40">
        <f t="shared" si="11"/>
        <v>50523</v>
      </c>
    </row>
    <row r="149" spans="1:11" x14ac:dyDescent="0.2">
      <c r="A149" s="18" t="s">
        <v>233</v>
      </c>
      <c r="B149" s="2">
        <v>45987</v>
      </c>
      <c r="C149" s="2">
        <v>50551</v>
      </c>
      <c r="D149" s="2">
        <v>50551</v>
      </c>
      <c r="E149" s="37" t="s">
        <v>422</v>
      </c>
      <c r="F149" s="2">
        <f t="shared" si="9"/>
        <v>50551</v>
      </c>
      <c r="G149" t="str">
        <f t="shared" si="10"/>
        <v>NG</v>
      </c>
      <c r="H149" s="35" t="str">
        <f t="shared" si="8"/>
        <v>NYMEX</v>
      </c>
      <c r="I149" t="str" cm="1">
        <f t="array" ref="I149">IFERROR(INDEX(Spreads!A:A,MATCH(1, (Spreads!E:E=G149)*(Spreads!C:C&gt;=F149), 0)),"---")</f>
        <v>---</v>
      </c>
      <c r="J149" s="40" t="str">
        <f>IFERROR(INDEX(Spreads!C:C, MATCH('CME Data'!I149,Spreads!A:A,0)),"---")</f>
        <v>---</v>
      </c>
      <c r="K149" s="40">
        <f t="shared" si="11"/>
        <v>50551</v>
      </c>
    </row>
    <row r="150" spans="1:11" x14ac:dyDescent="0.2">
      <c r="A150" s="18" t="s">
        <v>234</v>
      </c>
      <c r="B150" s="2">
        <v>45987</v>
      </c>
      <c r="C150" s="2">
        <v>50584</v>
      </c>
      <c r="D150" s="2">
        <v>50584</v>
      </c>
      <c r="E150" s="37" t="s">
        <v>422</v>
      </c>
      <c r="F150" s="2">
        <f t="shared" si="9"/>
        <v>50584</v>
      </c>
      <c r="G150" t="str">
        <f t="shared" si="10"/>
        <v>NG</v>
      </c>
      <c r="H150" s="35" t="str">
        <f t="shared" si="8"/>
        <v>NYMEX</v>
      </c>
      <c r="I150" t="str" cm="1">
        <f t="array" ref="I150">IFERROR(INDEX(Spreads!A:A,MATCH(1, (Spreads!E:E=G150)*(Spreads!C:C&gt;=F150), 0)),"---")</f>
        <v>---</v>
      </c>
      <c r="J150" s="40" t="str">
        <f>IFERROR(INDEX(Spreads!C:C, MATCH('CME Data'!I150,Spreads!A:A,0)),"---")</f>
        <v>---</v>
      </c>
      <c r="K150" s="40">
        <f t="shared" si="11"/>
        <v>50584</v>
      </c>
    </row>
    <row r="151" spans="1:11" x14ac:dyDescent="0.2">
      <c r="A151" s="18" t="s">
        <v>235</v>
      </c>
      <c r="B151" s="2">
        <v>45987</v>
      </c>
      <c r="C151" s="2">
        <v>50614</v>
      </c>
      <c r="D151" s="2">
        <v>50614</v>
      </c>
      <c r="E151" s="37" t="s">
        <v>422</v>
      </c>
      <c r="F151" s="2">
        <f t="shared" si="9"/>
        <v>50614</v>
      </c>
      <c r="G151" t="str">
        <f t="shared" si="10"/>
        <v>NG</v>
      </c>
      <c r="H151" s="35" t="str">
        <f t="shared" si="8"/>
        <v>NYMEX</v>
      </c>
      <c r="I151" t="str" cm="1">
        <f t="array" ref="I151">IFERROR(INDEX(Spreads!A:A,MATCH(1, (Spreads!E:E=G151)*(Spreads!C:C&gt;=F151), 0)),"---")</f>
        <v>---</v>
      </c>
      <c r="J151" s="40" t="str">
        <f>IFERROR(INDEX(Spreads!C:C, MATCH('CME Data'!I151,Spreads!A:A,0)),"---")</f>
        <v>---</v>
      </c>
      <c r="K151" s="40">
        <f t="shared" si="11"/>
        <v>50614</v>
      </c>
    </row>
    <row r="152" spans="1:11" x14ac:dyDescent="0.2">
      <c r="A152" s="18" t="s">
        <v>236</v>
      </c>
      <c r="B152" s="2">
        <v>45987</v>
      </c>
      <c r="C152" s="2">
        <v>50644</v>
      </c>
      <c r="D152" s="2">
        <v>50644</v>
      </c>
      <c r="E152" s="37" t="s">
        <v>422</v>
      </c>
      <c r="F152" s="2">
        <f t="shared" si="9"/>
        <v>50644</v>
      </c>
      <c r="G152" t="str">
        <f t="shared" si="10"/>
        <v>NG</v>
      </c>
      <c r="H152" s="35" t="str">
        <f t="shared" si="8"/>
        <v>NYMEX</v>
      </c>
      <c r="I152" t="str" cm="1">
        <f t="array" ref="I152">IFERROR(INDEX(Spreads!A:A,MATCH(1, (Spreads!E:E=G152)*(Spreads!C:C&gt;=F152), 0)),"---")</f>
        <v>---</v>
      </c>
      <c r="J152" s="40" t="str">
        <f>IFERROR(INDEX(Spreads!C:C, MATCH('CME Data'!I152,Spreads!A:A,0)),"---")</f>
        <v>---</v>
      </c>
      <c r="K152" s="40">
        <f t="shared" si="11"/>
        <v>50644</v>
      </c>
    </row>
    <row r="153" spans="1:11" x14ac:dyDescent="0.2">
      <c r="A153" s="18" t="s">
        <v>237</v>
      </c>
      <c r="B153" s="2">
        <v>45987</v>
      </c>
      <c r="C153" s="2">
        <v>50676</v>
      </c>
      <c r="D153" s="2">
        <v>50676</v>
      </c>
      <c r="E153" s="37" t="s">
        <v>422</v>
      </c>
      <c r="F153" s="2">
        <f t="shared" si="9"/>
        <v>50676</v>
      </c>
      <c r="G153" t="str">
        <f t="shared" si="10"/>
        <v>NG</v>
      </c>
      <c r="H153" s="35" t="str">
        <f t="shared" si="8"/>
        <v>NYMEX</v>
      </c>
      <c r="I153" t="str" cm="1">
        <f t="array" ref="I153">IFERROR(INDEX(Spreads!A:A,MATCH(1, (Spreads!E:E=G153)*(Spreads!C:C&gt;=F153), 0)),"---")</f>
        <v>---</v>
      </c>
      <c r="J153" s="40" t="str">
        <f>IFERROR(INDEX(Spreads!C:C, MATCH('CME Data'!I153,Spreads!A:A,0)),"---")</f>
        <v>---</v>
      </c>
      <c r="K153" s="40">
        <f t="shared" si="11"/>
        <v>50676</v>
      </c>
    </row>
    <row r="154" spans="1:11" x14ac:dyDescent="0.2">
      <c r="A154" s="18" t="s">
        <v>238</v>
      </c>
      <c r="B154" s="2">
        <v>45987</v>
      </c>
      <c r="C154" s="2">
        <v>50705</v>
      </c>
      <c r="D154" s="2">
        <v>50705</v>
      </c>
      <c r="E154" s="37" t="s">
        <v>422</v>
      </c>
      <c r="F154" s="2">
        <f t="shared" si="9"/>
        <v>50705</v>
      </c>
      <c r="G154" t="str">
        <f t="shared" si="10"/>
        <v>NG</v>
      </c>
      <c r="H154" s="35" t="str">
        <f t="shared" si="8"/>
        <v>NYMEX</v>
      </c>
      <c r="I154" t="str" cm="1">
        <f t="array" ref="I154">IFERROR(INDEX(Spreads!A:A,MATCH(1, (Spreads!E:E=G154)*(Spreads!C:C&gt;=F154), 0)),"---")</f>
        <v>---</v>
      </c>
      <c r="J154" s="40" t="str">
        <f>IFERROR(INDEX(Spreads!C:C, MATCH('CME Data'!I154,Spreads!A:A,0)),"---")</f>
        <v>---</v>
      </c>
      <c r="K154" s="40">
        <f t="shared" si="11"/>
        <v>50705</v>
      </c>
    </row>
    <row r="155" spans="1:11" x14ac:dyDescent="0.2">
      <c r="A155" s="18" t="s">
        <v>239</v>
      </c>
      <c r="B155" s="2">
        <v>45987</v>
      </c>
      <c r="C155" s="2">
        <v>50735</v>
      </c>
      <c r="D155" s="2">
        <v>50735</v>
      </c>
      <c r="E155" s="37" t="s">
        <v>422</v>
      </c>
      <c r="F155" s="2">
        <f t="shared" si="9"/>
        <v>50735</v>
      </c>
      <c r="G155" t="str">
        <f t="shared" si="10"/>
        <v>NG</v>
      </c>
      <c r="H155" s="35" t="str">
        <f t="shared" si="8"/>
        <v>NYMEX</v>
      </c>
      <c r="I155" t="str" cm="1">
        <f t="array" ref="I155">IFERROR(INDEX(Spreads!A:A,MATCH(1, (Spreads!E:E=G155)*(Spreads!C:C&gt;=F155), 0)),"---")</f>
        <v>---</v>
      </c>
      <c r="J155" s="40" t="str">
        <f>IFERROR(INDEX(Spreads!C:C, MATCH('CME Data'!I155,Spreads!A:A,0)),"---")</f>
        <v>---</v>
      </c>
      <c r="K155" s="40">
        <f t="shared" si="11"/>
        <v>50735</v>
      </c>
    </row>
    <row r="156" spans="1:11" x14ac:dyDescent="0.2">
      <c r="A156" s="18" t="s">
        <v>240</v>
      </c>
      <c r="B156" s="2">
        <v>43405</v>
      </c>
      <c r="C156" s="2">
        <v>46080</v>
      </c>
      <c r="D156" s="2">
        <v>46083</v>
      </c>
      <c r="E156" s="37" t="s">
        <v>422</v>
      </c>
      <c r="F156" s="2">
        <f t="shared" si="9"/>
        <v>46080</v>
      </c>
      <c r="G156" t="str">
        <f t="shared" si="10"/>
        <v>BZ</v>
      </c>
      <c r="H156" s="35" t="str">
        <f t="shared" si="8"/>
        <v>NYMEX</v>
      </c>
      <c r="I156" t="str" cm="1">
        <f t="array" ref="I156">IFERROR(INDEX(Spreads!A:A,MATCH(1, (Spreads!E:E=G156)*(Spreads!C:C&gt;=F156), 0)),"---")</f>
        <v>BR-4.26</v>
      </c>
      <c r="J156" s="40">
        <f>IFERROR(INDEX(Spreads!C:C, MATCH('CME Data'!I156,Spreads!A:A,0)),"---")</f>
        <v>46113</v>
      </c>
      <c r="K156" s="40">
        <f t="shared" si="11"/>
        <v>46080</v>
      </c>
    </row>
    <row r="157" spans="1:11" x14ac:dyDescent="0.2">
      <c r="A157" s="18" t="s">
        <v>241</v>
      </c>
      <c r="B157" s="2">
        <v>43405</v>
      </c>
      <c r="C157" s="2">
        <v>46112</v>
      </c>
      <c r="D157" s="2">
        <v>46113</v>
      </c>
      <c r="E157" s="37" t="s">
        <v>422</v>
      </c>
      <c r="F157" s="2">
        <f t="shared" si="9"/>
        <v>46112</v>
      </c>
      <c r="G157" t="str">
        <f t="shared" si="10"/>
        <v>BZ</v>
      </c>
      <c r="H157" s="35" t="str">
        <f t="shared" si="8"/>
        <v>NYMEX</v>
      </c>
      <c r="I157" t="str" cm="1">
        <f t="array" ref="I157">IFERROR(INDEX(Spreads!A:A,MATCH(1, (Spreads!E:E=G157)*(Spreads!C:C&gt;=F157), 0)),"---")</f>
        <v>BR-4.26</v>
      </c>
      <c r="J157" s="40">
        <f>IFERROR(INDEX(Spreads!C:C, MATCH('CME Data'!I157,Spreads!A:A,0)),"---")</f>
        <v>46113</v>
      </c>
      <c r="K157" s="40">
        <f t="shared" si="11"/>
        <v>46112</v>
      </c>
    </row>
    <row r="158" spans="1:11" x14ac:dyDescent="0.2">
      <c r="A158" s="18" t="s">
        <v>242</v>
      </c>
      <c r="B158" s="2">
        <v>43405</v>
      </c>
      <c r="C158" s="2">
        <v>46142</v>
      </c>
      <c r="D158" s="2">
        <v>46143</v>
      </c>
      <c r="E158" s="37" t="s">
        <v>422</v>
      </c>
      <c r="F158" s="2">
        <f t="shared" si="9"/>
        <v>46142</v>
      </c>
      <c r="G158" t="str">
        <f t="shared" si="10"/>
        <v>BZ</v>
      </c>
      <c r="H158" s="35" t="str">
        <f t="shared" si="8"/>
        <v>NYMEX</v>
      </c>
      <c r="I158" t="str" cm="1">
        <f t="array" ref="I158">IFERROR(INDEX(Spreads!A:A,MATCH(1, (Spreads!E:E=G158)*(Spreads!C:C&gt;=F158), 0)),"---")</f>
        <v>BR-5.26</v>
      </c>
      <c r="J158" s="40">
        <f>IFERROR(INDEX(Spreads!C:C, MATCH('CME Data'!I158,Spreads!A:A,0)),"---")</f>
        <v>46146</v>
      </c>
      <c r="K158" s="40">
        <f t="shared" si="11"/>
        <v>46142</v>
      </c>
    </row>
    <row r="159" spans="1:11" x14ac:dyDescent="0.2">
      <c r="A159" s="18" t="s">
        <v>243</v>
      </c>
      <c r="B159" s="2">
        <v>43405</v>
      </c>
      <c r="C159" s="2">
        <v>46171</v>
      </c>
      <c r="D159" s="2">
        <v>46174</v>
      </c>
      <c r="E159" s="37" t="s">
        <v>422</v>
      </c>
      <c r="F159" s="2">
        <f t="shared" si="9"/>
        <v>46171</v>
      </c>
      <c r="G159" t="str">
        <f t="shared" si="10"/>
        <v>BZ</v>
      </c>
      <c r="H159" s="35" t="str">
        <f t="shared" si="8"/>
        <v>NYMEX</v>
      </c>
      <c r="I159" t="str" cm="1">
        <f t="array" ref="I159">IFERROR(INDEX(Spreads!A:A,MATCH(1, (Spreads!E:E=G159)*(Spreads!C:C&gt;=F159), 0)),"---")</f>
        <v>BR-6.26</v>
      </c>
      <c r="J159" s="40">
        <f>IFERROR(INDEX(Spreads!C:C, MATCH('CME Data'!I159,Spreads!A:A,0)),"---")</f>
        <v>46174</v>
      </c>
      <c r="K159" s="40">
        <f t="shared" si="11"/>
        <v>46171</v>
      </c>
    </row>
    <row r="160" spans="1:11" x14ac:dyDescent="0.2">
      <c r="A160" s="18" t="s">
        <v>244</v>
      </c>
      <c r="B160" s="2">
        <v>43405</v>
      </c>
      <c r="C160" s="2">
        <v>46203</v>
      </c>
      <c r="D160" s="2">
        <v>46204</v>
      </c>
      <c r="E160" s="37" t="s">
        <v>422</v>
      </c>
      <c r="F160" s="2">
        <f t="shared" si="9"/>
        <v>46203</v>
      </c>
      <c r="G160" t="str">
        <f t="shared" si="10"/>
        <v>BZ</v>
      </c>
      <c r="H160" s="35" t="str">
        <f t="shared" si="8"/>
        <v>NYMEX</v>
      </c>
      <c r="I160" t="str" cm="1">
        <f t="array" ref="I160">IFERROR(INDEX(Spreads!A:A,MATCH(1, (Spreads!E:E=G160)*(Spreads!C:C&gt;=F160), 0)),"---")</f>
        <v>BR-7.26</v>
      </c>
      <c r="J160" s="40">
        <f>IFERROR(INDEX(Spreads!C:C, MATCH('CME Data'!I160,Spreads!A:A,0)),"---")</f>
        <v>46204</v>
      </c>
      <c r="K160" s="40">
        <f t="shared" si="11"/>
        <v>46203</v>
      </c>
    </row>
    <row r="161" spans="1:11" x14ac:dyDescent="0.2">
      <c r="A161" s="18" t="s">
        <v>245</v>
      </c>
      <c r="B161" s="2">
        <v>43405</v>
      </c>
      <c r="C161" s="2">
        <v>46234</v>
      </c>
      <c r="D161" s="2">
        <v>46237</v>
      </c>
      <c r="E161" s="37" t="s">
        <v>422</v>
      </c>
      <c r="F161" s="2">
        <f t="shared" si="9"/>
        <v>46234</v>
      </c>
      <c r="G161" t="str">
        <f t="shared" si="10"/>
        <v>BZ</v>
      </c>
      <c r="H161" s="35" t="str">
        <f t="shared" si="8"/>
        <v>NYMEX</v>
      </c>
      <c r="I161" t="str" cm="1">
        <f t="array" ref="I161">IFERROR(INDEX(Spreads!A:A,MATCH(1, (Spreads!E:E=G161)*(Spreads!C:C&gt;=F161), 0)),"---")</f>
        <v>BR-8.26</v>
      </c>
      <c r="J161" s="40">
        <f>IFERROR(INDEX(Spreads!C:C, MATCH('CME Data'!I161,Spreads!A:A,0)),"---")</f>
        <v>46237</v>
      </c>
      <c r="K161" s="40">
        <f t="shared" si="11"/>
        <v>46234</v>
      </c>
    </row>
    <row r="162" spans="1:11" x14ac:dyDescent="0.2">
      <c r="A162" s="18" t="s">
        <v>246</v>
      </c>
      <c r="B162" s="2">
        <v>43405</v>
      </c>
      <c r="C162" s="2">
        <v>46262</v>
      </c>
      <c r="D162" s="2">
        <v>46265</v>
      </c>
      <c r="E162" s="37" t="s">
        <v>422</v>
      </c>
      <c r="F162" s="2">
        <f t="shared" si="9"/>
        <v>46262</v>
      </c>
      <c r="G162" t="str">
        <f t="shared" si="10"/>
        <v>BZ</v>
      </c>
      <c r="H162" s="35" t="str">
        <f t="shared" si="8"/>
        <v>NYMEX</v>
      </c>
      <c r="I162" t="str" cm="1">
        <f t="array" ref="I162">IFERROR(INDEX(Spreads!A:A,MATCH(1, (Spreads!E:E=G162)*(Spreads!C:C&gt;=F162), 0)),"---")</f>
        <v>BR-9.26</v>
      </c>
      <c r="J162" s="40">
        <f>IFERROR(INDEX(Spreads!C:C, MATCH('CME Data'!I162,Spreads!A:A,0)),"---")</f>
        <v>46265</v>
      </c>
      <c r="K162" s="40">
        <f t="shared" si="11"/>
        <v>46262</v>
      </c>
    </row>
    <row r="163" spans="1:11" x14ac:dyDescent="0.2">
      <c r="A163" s="18" t="s">
        <v>247</v>
      </c>
      <c r="B163" s="2">
        <v>43405</v>
      </c>
      <c r="C163" s="2">
        <v>46295</v>
      </c>
      <c r="D163" s="2">
        <v>46296</v>
      </c>
      <c r="E163" s="37" t="s">
        <v>422</v>
      </c>
      <c r="F163" s="2">
        <f t="shared" si="9"/>
        <v>46295</v>
      </c>
      <c r="G163" t="str">
        <f t="shared" si="10"/>
        <v>BZ</v>
      </c>
      <c r="H163" s="35" t="str">
        <f t="shared" si="8"/>
        <v>NYMEX</v>
      </c>
      <c r="I163" t="str" cm="1">
        <f t="array" ref="I163">IFERROR(INDEX(Spreads!A:A,MATCH(1, (Spreads!E:E=G163)*(Spreads!C:C&gt;=F163), 0)),"---")</f>
        <v>BR-10.26</v>
      </c>
      <c r="J163" s="40">
        <f>IFERROR(INDEX(Spreads!C:C, MATCH('CME Data'!I163,Spreads!A:A,0)),"---")</f>
        <v>46296</v>
      </c>
      <c r="K163" s="40">
        <f t="shared" si="11"/>
        <v>46295</v>
      </c>
    </row>
    <row r="164" spans="1:11" x14ac:dyDescent="0.2">
      <c r="A164" s="18" t="s">
        <v>248</v>
      </c>
      <c r="B164" s="2">
        <v>43405</v>
      </c>
      <c r="C164" s="2">
        <v>46325</v>
      </c>
      <c r="D164" s="2">
        <v>46328</v>
      </c>
      <c r="E164" s="37" t="s">
        <v>422</v>
      </c>
      <c r="F164" s="2">
        <f t="shared" si="9"/>
        <v>46325</v>
      </c>
      <c r="G164" t="str">
        <f t="shared" si="10"/>
        <v>BZ</v>
      </c>
      <c r="H164" s="35" t="str">
        <f t="shared" si="8"/>
        <v>NYMEX</v>
      </c>
      <c r="I164" t="str" cm="1">
        <f t="array" ref="I164">IFERROR(INDEX(Spreads!A:A,MATCH(1, (Spreads!E:E=G164)*(Spreads!C:C&gt;=F164), 0)),"---")</f>
        <v>---</v>
      </c>
      <c r="J164" s="40" t="str">
        <f>IFERROR(INDEX(Spreads!C:C, MATCH('CME Data'!I164,Spreads!A:A,0)),"---")</f>
        <v>---</v>
      </c>
      <c r="K164" s="40">
        <f t="shared" si="11"/>
        <v>46325</v>
      </c>
    </row>
    <row r="165" spans="1:11" x14ac:dyDescent="0.2">
      <c r="A165" s="18" t="s">
        <v>249</v>
      </c>
      <c r="B165" s="2">
        <v>43405</v>
      </c>
      <c r="C165" s="2">
        <v>46356</v>
      </c>
      <c r="D165" s="2">
        <v>46357</v>
      </c>
      <c r="E165" s="37" t="s">
        <v>422</v>
      </c>
      <c r="F165" s="2">
        <f t="shared" si="9"/>
        <v>46356</v>
      </c>
      <c r="G165" t="str">
        <f t="shared" si="10"/>
        <v>BZ</v>
      </c>
      <c r="H165" s="35" t="str">
        <f t="shared" si="8"/>
        <v>NYMEX</v>
      </c>
      <c r="I165" t="str" cm="1">
        <f t="array" ref="I165">IFERROR(INDEX(Spreads!A:A,MATCH(1, (Spreads!E:E=G165)*(Spreads!C:C&gt;=F165), 0)),"---")</f>
        <v>---</v>
      </c>
      <c r="J165" s="40" t="str">
        <f>IFERROR(INDEX(Spreads!C:C, MATCH('CME Data'!I165,Spreads!A:A,0)),"---")</f>
        <v>---</v>
      </c>
      <c r="K165" s="40">
        <f t="shared" si="11"/>
        <v>46356</v>
      </c>
    </row>
    <row r="166" spans="1:11" x14ac:dyDescent="0.2">
      <c r="A166" s="18" t="s">
        <v>250</v>
      </c>
      <c r="B166" s="2">
        <v>43405</v>
      </c>
      <c r="C166" s="2">
        <v>46386</v>
      </c>
      <c r="D166" s="2">
        <v>46387</v>
      </c>
      <c r="E166" s="37" t="s">
        <v>422</v>
      </c>
      <c r="F166" s="2">
        <f t="shared" si="9"/>
        <v>46386</v>
      </c>
      <c r="G166" t="str">
        <f t="shared" si="10"/>
        <v>BZ</v>
      </c>
      <c r="H166" s="35" t="str">
        <f t="shared" si="8"/>
        <v>NYMEX</v>
      </c>
      <c r="I166" t="str" cm="1">
        <f t="array" ref="I166">IFERROR(INDEX(Spreads!A:A,MATCH(1, (Spreads!E:E=G166)*(Spreads!C:C&gt;=F166), 0)),"---")</f>
        <v>---</v>
      </c>
      <c r="J166" s="40" t="str">
        <f>IFERROR(INDEX(Spreads!C:C, MATCH('CME Data'!I166,Spreads!A:A,0)),"---")</f>
        <v>---</v>
      </c>
      <c r="K166" s="40">
        <f t="shared" si="11"/>
        <v>46386</v>
      </c>
    </row>
    <row r="167" spans="1:11" x14ac:dyDescent="0.2">
      <c r="A167" s="18" t="s">
        <v>251</v>
      </c>
      <c r="B167" s="2">
        <v>43405</v>
      </c>
      <c r="C167" s="2">
        <v>46416</v>
      </c>
      <c r="D167" s="2">
        <v>46419</v>
      </c>
      <c r="E167" s="37" t="s">
        <v>422</v>
      </c>
      <c r="F167" s="2">
        <f t="shared" si="9"/>
        <v>46416</v>
      </c>
      <c r="G167" t="str">
        <f t="shared" si="10"/>
        <v>BZ</v>
      </c>
      <c r="H167" s="35" t="str">
        <f t="shared" si="8"/>
        <v>NYMEX</v>
      </c>
      <c r="I167" t="str" cm="1">
        <f t="array" ref="I167">IFERROR(INDEX(Spreads!A:A,MATCH(1, (Spreads!E:E=G167)*(Spreads!C:C&gt;=F167), 0)),"---")</f>
        <v>---</v>
      </c>
      <c r="J167" s="40" t="str">
        <f>IFERROR(INDEX(Spreads!C:C, MATCH('CME Data'!I167,Spreads!A:A,0)),"---")</f>
        <v>---</v>
      </c>
      <c r="K167" s="40">
        <f t="shared" si="11"/>
        <v>46416</v>
      </c>
    </row>
    <row r="168" spans="1:11" x14ac:dyDescent="0.2">
      <c r="A168" s="18" t="s">
        <v>252</v>
      </c>
      <c r="B168" s="2">
        <v>43770</v>
      </c>
      <c r="C168" s="2">
        <v>46444</v>
      </c>
      <c r="D168" s="2">
        <v>46447</v>
      </c>
      <c r="E168" s="37" t="s">
        <v>422</v>
      </c>
      <c r="F168" s="2">
        <f t="shared" si="9"/>
        <v>46444</v>
      </c>
      <c r="G168" t="str">
        <f t="shared" si="10"/>
        <v>BZ</v>
      </c>
      <c r="H168" s="35" t="str">
        <f t="shared" si="8"/>
        <v>NYMEX</v>
      </c>
      <c r="I168" t="str" cm="1">
        <f t="array" ref="I168">IFERROR(INDEX(Spreads!A:A,MATCH(1, (Spreads!E:E=G168)*(Spreads!C:C&gt;=F168), 0)),"---")</f>
        <v>---</v>
      </c>
      <c r="J168" s="40" t="str">
        <f>IFERROR(INDEX(Spreads!C:C, MATCH('CME Data'!I168,Spreads!A:A,0)),"---")</f>
        <v>---</v>
      </c>
      <c r="K168" s="40">
        <f t="shared" si="11"/>
        <v>46444</v>
      </c>
    </row>
    <row r="169" spans="1:11" x14ac:dyDescent="0.2">
      <c r="A169" s="18" t="s">
        <v>253</v>
      </c>
      <c r="B169" s="2">
        <v>43770</v>
      </c>
      <c r="C169" s="2">
        <v>46477</v>
      </c>
      <c r="D169" s="2">
        <v>46478</v>
      </c>
      <c r="E169" s="37" t="s">
        <v>422</v>
      </c>
      <c r="F169" s="2">
        <f t="shared" si="9"/>
        <v>46477</v>
      </c>
      <c r="G169" t="str">
        <f t="shared" si="10"/>
        <v>BZ</v>
      </c>
      <c r="H169" s="35" t="str">
        <f t="shared" si="8"/>
        <v>NYMEX</v>
      </c>
      <c r="I169" t="str" cm="1">
        <f t="array" ref="I169">IFERROR(INDEX(Spreads!A:A,MATCH(1, (Spreads!E:E=G169)*(Spreads!C:C&gt;=F169), 0)),"---")</f>
        <v>---</v>
      </c>
      <c r="J169" s="40" t="str">
        <f>IFERROR(INDEX(Spreads!C:C, MATCH('CME Data'!I169,Spreads!A:A,0)),"---")</f>
        <v>---</v>
      </c>
      <c r="K169" s="40">
        <f t="shared" si="11"/>
        <v>46477</v>
      </c>
    </row>
    <row r="170" spans="1:11" x14ac:dyDescent="0.2">
      <c r="A170" s="18" t="s">
        <v>254</v>
      </c>
      <c r="B170" s="2">
        <v>43770</v>
      </c>
      <c r="C170" s="2">
        <v>46507</v>
      </c>
      <c r="D170" s="2">
        <v>46510</v>
      </c>
      <c r="E170" s="37" t="s">
        <v>422</v>
      </c>
      <c r="F170" s="2">
        <f t="shared" si="9"/>
        <v>46507</v>
      </c>
      <c r="G170" t="str">
        <f t="shared" si="10"/>
        <v>BZ</v>
      </c>
      <c r="H170" s="35" t="str">
        <f t="shared" si="8"/>
        <v>NYMEX</v>
      </c>
      <c r="I170" t="str" cm="1">
        <f t="array" ref="I170">IFERROR(INDEX(Spreads!A:A,MATCH(1, (Spreads!E:E=G170)*(Spreads!C:C&gt;=F170), 0)),"---")</f>
        <v>---</v>
      </c>
      <c r="J170" s="40" t="str">
        <f>IFERROR(INDEX(Spreads!C:C, MATCH('CME Data'!I170,Spreads!A:A,0)),"---")</f>
        <v>---</v>
      </c>
      <c r="K170" s="40">
        <f t="shared" si="11"/>
        <v>46507</v>
      </c>
    </row>
    <row r="171" spans="1:11" x14ac:dyDescent="0.2">
      <c r="A171" s="18" t="s">
        <v>255</v>
      </c>
      <c r="B171" s="2">
        <v>43770</v>
      </c>
      <c r="C171" s="2">
        <v>46535</v>
      </c>
      <c r="D171" s="2">
        <v>46539</v>
      </c>
      <c r="E171" s="37" t="s">
        <v>422</v>
      </c>
      <c r="F171" s="2">
        <f t="shared" si="9"/>
        <v>46535</v>
      </c>
      <c r="G171" t="str">
        <f t="shared" si="10"/>
        <v>BZ</v>
      </c>
      <c r="H171" s="35" t="str">
        <f t="shared" si="8"/>
        <v>NYMEX</v>
      </c>
      <c r="I171" t="str" cm="1">
        <f t="array" ref="I171">IFERROR(INDEX(Spreads!A:A,MATCH(1, (Spreads!E:E=G171)*(Spreads!C:C&gt;=F171), 0)),"---")</f>
        <v>---</v>
      </c>
      <c r="J171" s="40" t="str">
        <f>IFERROR(INDEX(Spreads!C:C, MATCH('CME Data'!I171,Spreads!A:A,0)),"---")</f>
        <v>---</v>
      </c>
      <c r="K171" s="40">
        <f t="shared" si="11"/>
        <v>46535</v>
      </c>
    </row>
    <row r="172" spans="1:11" x14ac:dyDescent="0.2">
      <c r="A172" s="18" t="s">
        <v>256</v>
      </c>
      <c r="B172" s="2">
        <v>43770</v>
      </c>
      <c r="C172" s="2">
        <v>46568</v>
      </c>
      <c r="D172" s="2">
        <v>46569</v>
      </c>
      <c r="E172" s="37" t="s">
        <v>422</v>
      </c>
      <c r="F172" s="2">
        <f t="shared" si="9"/>
        <v>46568</v>
      </c>
      <c r="G172" t="str">
        <f t="shared" si="10"/>
        <v>BZ</v>
      </c>
      <c r="H172" s="35" t="str">
        <f t="shared" si="8"/>
        <v>NYMEX</v>
      </c>
      <c r="I172" t="str" cm="1">
        <f t="array" ref="I172">IFERROR(INDEX(Spreads!A:A,MATCH(1, (Spreads!E:E=G172)*(Spreads!C:C&gt;=F172), 0)),"---")</f>
        <v>---</v>
      </c>
      <c r="J172" s="40" t="str">
        <f>IFERROR(INDEX(Spreads!C:C, MATCH('CME Data'!I172,Spreads!A:A,0)),"---")</f>
        <v>---</v>
      </c>
      <c r="K172" s="40">
        <f t="shared" si="11"/>
        <v>46568</v>
      </c>
    </row>
    <row r="173" spans="1:11" x14ac:dyDescent="0.2">
      <c r="A173" s="18" t="s">
        <v>257</v>
      </c>
      <c r="B173" s="2">
        <v>43770</v>
      </c>
      <c r="C173" s="2">
        <v>46598</v>
      </c>
      <c r="D173" s="2">
        <v>46601</v>
      </c>
      <c r="E173" s="37" t="s">
        <v>422</v>
      </c>
      <c r="F173" s="2">
        <f t="shared" si="9"/>
        <v>46598</v>
      </c>
      <c r="G173" t="str">
        <f t="shared" si="10"/>
        <v>BZ</v>
      </c>
      <c r="H173" s="35" t="str">
        <f t="shared" si="8"/>
        <v>NYMEX</v>
      </c>
      <c r="I173" t="str" cm="1">
        <f t="array" ref="I173">IFERROR(INDEX(Spreads!A:A,MATCH(1, (Spreads!E:E=G173)*(Spreads!C:C&gt;=F173), 0)),"---")</f>
        <v>---</v>
      </c>
      <c r="J173" s="40" t="str">
        <f>IFERROR(INDEX(Spreads!C:C, MATCH('CME Data'!I173,Spreads!A:A,0)),"---")</f>
        <v>---</v>
      </c>
      <c r="K173" s="40">
        <f t="shared" si="11"/>
        <v>46598</v>
      </c>
    </row>
    <row r="174" spans="1:11" x14ac:dyDescent="0.2">
      <c r="A174" s="18" t="s">
        <v>258</v>
      </c>
      <c r="B174" s="2">
        <v>43770</v>
      </c>
      <c r="C174" s="2">
        <v>46630</v>
      </c>
      <c r="D174" s="2">
        <v>46631</v>
      </c>
      <c r="E174" s="37" t="s">
        <v>422</v>
      </c>
      <c r="F174" s="2">
        <f t="shared" si="9"/>
        <v>46630</v>
      </c>
      <c r="G174" t="str">
        <f t="shared" si="10"/>
        <v>BZ</v>
      </c>
      <c r="H174" s="35" t="str">
        <f t="shared" si="8"/>
        <v>NYMEX</v>
      </c>
      <c r="I174" t="str" cm="1">
        <f t="array" ref="I174">IFERROR(INDEX(Spreads!A:A,MATCH(1, (Spreads!E:E=G174)*(Spreads!C:C&gt;=F174), 0)),"---")</f>
        <v>---</v>
      </c>
      <c r="J174" s="40" t="str">
        <f>IFERROR(INDEX(Spreads!C:C, MATCH('CME Data'!I174,Spreads!A:A,0)),"---")</f>
        <v>---</v>
      </c>
      <c r="K174" s="40">
        <f t="shared" si="11"/>
        <v>46630</v>
      </c>
    </row>
    <row r="175" spans="1:11" x14ac:dyDescent="0.2">
      <c r="A175" s="18" t="s">
        <v>259</v>
      </c>
      <c r="B175" s="2">
        <v>43770</v>
      </c>
      <c r="C175" s="2">
        <v>46660</v>
      </c>
      <c r="D175" s="2">
        <v>46661</v>
      </c>
      <c r="E175" s="37" t="s">
        <v>422</v>
      </c>
      <c r="F175" s="2">
        <f t="shared" si="9"/>
        <v>46660</v>
      </c>
      <c r="G175" t="str">
        <f t="shared" si="10"/>
        <v>BZ</v>
      </c>
      <c r="H175" s="35" t="str">
        <f t="shared" si="8"/>
        <v>NYMEX</v>
      </c>
      <c r="I175" t="str" cm="1">
        <f t="array" ref="I175">IFERROR(INDEX(Spreads!A:A,MATCH(1, (Spreads!E:E=G175)*(Spreads!C:C&gt;=F175), 0)),"---")</f>
        <v>---</v>
      </c>
      <c r="J175" s="40" t="str">
        <f>IFERROR(INDEX(Spreads!C:C, MATCH('CME Data'!I175,Spreads!A:A,0)),"---")</f>
        <v>---</v>
      </c>
      <c r="K175" s="40">
        <f t="shared" si="11"/>
        <v>46660</v>
      </c>
    </row>
    <row r="176" spans="1:11" x14ac:dyDescent="0.2">
      <c r="A176" s="18" t="s">
        <v>260</v>
      </c>
      <c r="B176" s="2">
        <v>43770</v>
      </c>
      <c r="C176" s="2">
        <v>46689</v>
      </c>
      <c r="D176" s="2">
        <v>46692</v>
      </c>
      <c r="E176" s="37" t="s">
        <v>422</v>
      </c>
      <c r="F176" s="2">
        <f t="shared" si="9"/>
        <v>46689</v>
      </c>
      <c r="G176" t="str">
        <f t="shared" si="10"/>
        <v>BZ</v>
      </c>
      <c r="H176" s="35" t="str">
        <f t="shared" si="8"/>
        <v>NYMEX</v>
      </c>
      <c r="I176" t="str" cm="1">
        <f t="array" ref="I176">IFERROR(INDEX(Spreads!A:A,MATCH(1, (Spreads!E:E=G176)*(Spreads!C:C&gt;=F176), 0)),"---")</f>
        <v>---</v>
      </c>
      <c r="J176" s="40" t="str">
        <f>IFERROR(INDEX(Spreads!C:C, MATCH('CME Data'!I176,Spreads!A:A,0)),"---")</f>
        <v>---</v>
      </c>
      <c r="K176" s="40">
        <f t="shared" si="11"/>
        <v>46689</v>
      </c>
    </row>
    <row r="177" spans="1:11" x14ac:dyDescent="0.2">
      <c r="A177" s="18" t="s">
        <v>261</v>
      </c>
      <c r="B177" s="2">
        <v>43770</v>
      </c>
      <c r="C177" s="2">
        <v>46721</v>
      </c>
      <c r="D177" s="2">
        <v>46722</v>
      </c>
      <c r="E177" s="37" t="s">
        <v>422</v>
      </c>
      <c r="F177" s="2">
        <f t="shared" si="9"/>
        <v>46721</v>
      </c>
      <c r="G177" t="str">
        <f t="shared" si="10"/>
        <v>BZ</v>
      </c>
      <c r="H177" s="35" t="str">
        <f t="shared" si="8"/>
        <v>NYMEX</v>
      </c>
      <c r="I177" t="str" cm="1">
        <f t="array" ref="I177">IFERROR(INDEX(Spreads!A:A,MATCH(1, (Spreads!E:E=G177)*(Spreads!C:C&gt;=F177), 0)),"---")</f>
        <v>---</v>
      </c>
      <c r="J177" s="40" t="str">
        <f>IFERROR(INDEX(Spreads!C:C, MATCH('CME Data'!I177,Spreads!A:A,0)),"---")</f>
        <v>---</v>
      </c>
      <c r="K177" s="40">
        <f t="shared" si="11"/>
        <v>46721</v>
      </c>
    </row>
    <row r="178" spans="1:11" x14ac:dyDescent="0.2">
      <c r="A178" s="18" t="s">
        <v>262</v>
      </c>
      <c r="B178" s="2">
        <v>43770</v>
      </c>
      <c r="C178" s="2">
        <v>46751</v>
      </c>
      <c r="D178" s="2">
        <v>46752</v>
      </c>
      <c r="E178" s="37" t="s">
        <v>422</v>
      </c>
      <c r="F178" s="2">
        <f t="shared" si="9"/>
        <v>46751</v>
      </c>
      <c r="G178" t="str">
        <f t="shared" si="10"/>
        <v>BZ</v>
      </c>
      <c r="H178" s="35" t="str">
        <f t="shared" si="8"/>
        <v>NYMEX</v>
      </c>
      <c r="I178" t="str" cm="1">
        <f t="array" ref="I178">IFERROR(INDEX(Spreads!A:A,MATCH(1, (Spreads!E:E=G178)*(Spreads!C:C&gt;=F178), 0)),"---")</f>
        <v>---</v>
      </c>
      <c r="J178" s="40" t="str">
        <f>IFERROR(INDEX(Spreads!C:C, MATCH('CME Data'!I178,Spreads!A:A,0)),"---")</f>
        <v>---</v>
      </c>
      <c r="K178" s="40">
        <f t="shared" si="11"/>
        <v>46751</v>
      </c>
    </row>
    <row r="179" spans="1:11" x14ac:dyDescent="0.2">
      <c r="A179" s="18" t="s">
        <v>263</v>
      </c>
      <c r="B179" s="2">
        <v>43770</v>
      </c>
      <c r="C179" s="2">
        <v>46783</v>
      </c>
      <c r="D179" s="2">
        <v>46784</v>
      </c>
      <c r="E179" s="37" t="s">
        <v>422</v>
      </c>
      <c r="F179" s="2">
        <f t="shared" si="9"/>
        <v>46783</v>
      </c>
      <c r="G179" t="str">
        <f t="shared" si="10"/>
        <v>BZ</v>
      </c>
      <c r="H179" s="35" t="str">
        <f t="shared" si="8"/>
        <v>NYMEX</v>
      </c>
      <c r="I179" t="str" cm="1">
        <f t="array" ref="I179">IFERROR(INDEX(Spreads!A:A,MATCH(1, (Spreads!E:E=G179)*(Spreads!C:C&gt;=F179), 0)),"---")</f>
        <v>---</v>
      </c>
      <c r="J179" s="40" t="str">
        <f>IFERROR(INDEX(Spreads!C:C, MATCH('CME Data'!I179,Spreads!A:A,0)),"---")</f>
        <v>---</v>
      </c>
      <c r="K179" s="40">
        <f t="shared" si="11"/>
        <v>46783</v>
      </c>
    </row>
    <row r="180" spans="1:11" x14ac:dyDescent="0.2">
      <c r="A180" s="18" t="s">
        <v>264</v>
      </c>
      <c r="B180" s="2">
        <v>44137</v>
      </c>
      <c r="C180" s="2">
        <v>46812</v>
      </c>
      <c r="D180" s="2">
        <v>46813</v>
      </c>
      <c r="E180" s="37" t="s">
        <v>422</v>
      </c>
      <c r="F180" s="2">
        <f t="shared" si="9"/>
        <v>46812</v>
      </c>
      <c r="G180" t="str">
        <f t="shared" si="10"/>
        <v>BZ</v>
      </c>
      <c r="H180" s="35" t="str">
        <f t="shared" si="8"/>
        <v>NYMEX</v>
      </c>
      <c r="I180" t="str" cm="1">
        <f t="array" ref="I180">IFERROR(INDEX(Spreads!A:A,MATCH(1, (Spreads!E:E=G180)*(Spreads!C:C&gt;=F180), 0)),"---")</f>
        <v>---</v>
      </c>
      <c r="J180" s="40" t="str">
        <f>IFERROR(INDEX(Spreads!C:C, MATCH('CME Data'!I180,Spreads!A:A,0)),"---")</f>
        <v>---</v>
      </c>
      <c r="K180" s="40">
        <f t="shared" si="11"/>
        <v>46812</v>
      </c>
    </row>
    <row r="181" spans="1:11" x14ac:dyDescent="0.2">
      <c r="A181" s="18" t="s">
        <v>265</v>
      </c>
      <c r="B181" s="2">
        <v>44137</v>
      </c>
      <c r="C181" s="2">
        <v>46843</v>
      </c>
      <c r="D181" s="2">
        <v>46846</v>
      </c>
      <c r="E181" s="37" t="s">
        <v>422</v>
      </c>
      <c r="F181" s="2">
        <f t="shared" si="9"/>
        <v>46843</v>
      </c>
      <c r="G181" t="str">
        <f t="shared" si="10"/>
        <v>BZ</v>
      </c>
      <c r="H181" s="35" t="str">
        <f t="shared" si="8"/>
        <v>NYMEX</v>
      </c>
      <c r="I181" t="str" cm="1">
        <f t="array" ref="I181">IFERROR(INDEX(Spreads!A:A,MATCH(1, (Spreads!E:E=G181)*(Spreads!C:C&gt;=F181), 0)),"---")</f>
        <v>---</v>
      </c>
      <c r="J181" s="40" t="str">
        <f>IFERROR(INDEX(Spreads!C:C, MATCH('CME Data'!I181,Spreads!A:A,0)),"---")</f>
        <v>---</v>
      </c>
      <c r="K181" s="40">
        <f t="shared" si="11"/>
        <v>46843</v>
      </c>
    </row>
    <row r="182" spans="1:11" x14ac:dyDescent="0.2">
      <c r="A182" s="18" t="s">
        <v>266</v>
      </c>
      <c r="B182" s="2">
        <v>44137</v>
      </c>
      <c r="C182" s="2">
        <v>46871</v>
      </c>
      <c r="D182" s="2">
        <v>46874</v>
      </c>
      <c r="E182" s="37" t="s">
        <v>422</v>
      </c>
      <c r="F182" s="2">
        <f t="shared" si="9"/>
        <v>46871</v>
      </c>
      <c r="G182" t="str">
        <f t="shared" si="10"/>
        <v>BZ</v>
      </c>
      <c r="H182" s="35" t="str">
        <f t="shared" si="8"/>
        <v>NYMEX</v>
      </c>
      <c r="I182" t="str" cm="1">
        <f t="array" ref="I182">IFERROR(INDEX(Spreads!A:A,MATCH(1, (Spreads!E:E=G182)*(Spreads!C:C&gt;=F182), 0)),"---")</f>
        <v>---</v>
      </c>
      <c r="J182" s="40" t="str">
        <f>IFERROR(INDEX(Spreads!C:C, MATCH('CME Data'!I182,Spreads!A:A,0)),"---")</f>
        <v>---</v>
      </c>
      <c r="K182" s="40">
        <f t="shared" si="11"/>
        <v>46871</v>
      </c>
    </row>
    <row r="183" spans="1:11" x14ac:dyDescent="0.2">
      <c r="A183" s="18" t="s">
        <v>267</v>
      </c>
      <c r="B183" s="2">
        <v>44137</v>
      </c>
      <c r="C183" s="2">
        <v>46904</v>
      </c>
      <c r="D183" s="2">
        <v>46905</v>
      </c>
      <c r="E183" s="37" t="s">
        <v>422</v>
      </c>
      <c r="F183" s="2">
        <f t="shared" si="9"/>
        <v>46904</v>
      </c>
      <c r="G183" t="str">
        <f t="shared" si="10"/>
        <v>BZ</v>
      </c>
      <c r="H183" s="35" t="str">
        <f t="shared" si="8"/>
        <v>NYMEX</v>
      </c>
      <c r="I183" t="str" cm="1">
        <f t="array" ref="I183">IFERROR(INDEX(Spreads!A:A,MATCH(1, (Spreads!E:E=G183)*(Spreads!C:C&gt;=F183), 0)),"---")</f>
        <v>---</v>
      </c>
      <c r="J183" s="40" t="str">
        <f>IFERROR(INDEX(Spreads!C:C, MATCH('CME Data'!I183,Spreads!A:A,0)),"---")</f>
        <v>---</v>
      </c>
      <c r="K183" s="40">
        <f t="shared" si="11"/>
        <v>46904</v>
      </c>
    </row>
    <row r="184" spans="1:11" x14ac:dyDescent="0.2">
      <c r="A184" s="18" t="s">
        <v>268</v>
      </c>
      <c r="B184" s="2">
        <v>44137</v>
      </c>
      <c r="C184" s="2">
        <v>46934</v>
      </c>
      <c r="D184" s="2">
        <v>46937</v>
      </c>
      <c r="E184" s="37" t="s">
        <v>422</v>
      </c>
      <c r="F184" s="2">
        <f t="shared" si="9"/>
        <v>46934</v>
      </c>
      <c r="G184" t="str">
        <f t="shared" si="10"/>
        <v>BZ</v>
      </c>
      <c r="H184" s="35" t="str">
        <f t="shared" si="8"/>
        <v>NYMEX</v>
      </c>
      <c r="I184" t="str" cm="1">
        <f t="array" ref="I184">IFERROR(INDEX(Spreads!A:A,MATCH(1, (Spreads!E:E=G184)*(Spreads!C:C&gt;=F184), 0)),"---")</f>
        <v>---</v>
      </c>
      <c r="J184" s="40" t="str">
        <f>IFERROR(INDEX(Spreads!C:C, MATCH('CME Data'!I184,Spreads!A:A,0)),"---")</f>
        <v>---</v>
      </c>
      <c r="K184" s="40">
        <f t="shared" si="11"/>
        <v>46934</v>
      </c>
    </row>
    <row r="185" spans="1:11" x14ac:dyDescent="0.2">
      <c r="A185" s="18" t="s">
        <v>269</v>
      </c>
      <c r="B185" s="2">
        <v>44137</v>
      </c>
      <c r="C185" s="2">
        <v>46965</v>
      </c>
      <c r="D185" s="2">
        <v>46966</v>
      </c>
      <c r="E185" s="37" t="s">
        <v>422</v>
      </c>
      <c r="F185" s="2">
        <f t="shared" si="9"/>
        <v>46965</v>
      </c>
      <c r="G185" t="str">
        <f t="shared" si="10"/>
        <v>BZ</v>
      </c>
      <c r="H185" s="35" t="str">
        <f t="shared" si="8"/>
        <v>NYMEX</v>
      </c>
      <c r="I185" t="str" cm="1">
        <f t="array" ref="I185">IFERROR(INDEX(Spreads!A:A,MATCH(1, (Spreads!E:E=G185)*(Spreads!C:C&gt;=F185), 0)),"---")</f>
        <v>---</v>
      </c>
      <c r="J185" s="40" t="str">
        <f>IFERROR(INDEX(Spreads!C:C, MATCH('CME Data'!I185,Spreads!A:A,0)),"---")</f>
        <v>---</v>
      </c>
      <c r="K185" s="40">
        <f t="shared" si="11"/>
        <v>46965</v>
      </c>
    </row>
    <row r="186" spans="1:11" x14ac:dyDescent="0.2">
      <c r="A186" s="18" t="s">
        <v>270</v>
      </c>
      <c r="B186" s="2">
        <v>44137</v>
      </c>
      <c r="C186" s="2">
        <v>46996</v>
      </c>
      <c r="D186" s="2">
        <v>46997</v>
      </c>
      <c r="E186" s="37" t="s">
        <v>422</v>
      </c>
      <c r="F186" s="2">
        <f t="shared" si="9"/>
        <v>46996</v>
      </c>
      <c r="G186" t="str">
        <f t="shared" si="10"/>
        <v>BZ</v>
      </c>
      <c r="H186" s="35" t="str">
        <f t="shared" si="8"/>
        <v>NYMEX</v>
      </c>
      <c r="I186" t="str" cm="1">
        <f t="array" ref="I186">IFERROR(INDEX(Spreads!A:A,MATCH(1, (Spreads!E:E=G186)*(Spreads!C:C&gt;=F186), 0)),"---")</f>
        <v>---</v>
      </c>
      <c r="J186" s="40" t="str">
        <f>IFERROR(INDEX(Spreads!C:C, MATCH('CME Data'!I186,Spreads!A:A,0)),"---")</f>
        <v>---</v>
      </c>
      <c r="K186" s="40">
        <f t="shared" si="11"/>
        <v>46996</v>
      </c>
    </row>
    <row r="187" spans="1:11" x14ac:dyDescent="0.2">
      <c r="A187" s="18" t="s">
        <v>271</v>
      </c>
      <c r="B187" s="2">
        <v>44137</v>
      </c>
      <c r="C187" s="2">
        <v>47025</v>
      </c>
      <c r="D187" s="2">
        <v>47028</v>
      </c>
      <c r="E187" s="37" t="s">
        <v>422</v>
      </c>
      <c r="F187" s="2">
        <f t="shared" si="9"/>
        <v>47025</v>
      </c>
      <c r="G187" t="str">
        <f t="shared" si="10"/>
        <v>BZ</v>
      </c>
      <c r="H187" s="35" t="str">
        <f t="shared" si="8"/>
        <v>NYMEX</v>
      </c>
      <c r="I187" t="str" cm="1">
        <f t="array" ref="I187">IFERROR(INDEX(Spreads!A:A,MATCH(1, (Spreads!E:E=G187)*(Spreads!C:C&gt;=F187), 0)),"---")</f>
        <v>---</v>
      </c>
      <c r="J187" s="40" t="str">
        <f>IFERROR(INDEX(Spreads!C:C, MATCH('CME Data'!I187,Spreads!A:A,0)),"---")</f>
        <v>---</v>
      </c>
      <c r="K187" s="40">
        <f t="shared" si="11"/>
        <v>47025</v>
      </c>
    </row>
    <row r="188" spans="1:11" x14ac:dyDescent="0.2">
      <c r="A188" s="18" t="s">
        <v>272</v>
      </c>
      <c r="B188" s="2">
        <v>44137</v>
      </c>
      <c r="C188" s="2">
        <v>47057</v>
      </c>
      <c r="D188" s="2">
        <v>47058</v>
      </c>
      <c r="E188" s="37" t="s">
        <v>422</v>
      </c>
      <c r="F188" s="2">
        <f t="shared" si="9"/>
        <v>47057</v>
      </c>
      <c r="G188" t="str">
        <f t="shared" si="10"/>
        <v>BZ</v>
      </c>
      <c r="H188" s="35" t="str">
        <f t="shared" si="8"/>
        <v>NYMEX</v>
      </c>
      <c r="I188" t="str" cm="1">
        <f t="array" ref="I188">IFERROR(INDEX(Spreads!A:A,MATCH(1, (Spreads!E:E=G188)*(Spreads!C:C&gt;=F188), 0)),"---")</f>
        <v>---</v>
      </c>
      <c r="J188" s="40" t="str">
        <f>IFERROR(INDEX(Spreads!C:C, MATCH('CME Data'!I188,Spreads!A:A,0)),"---")</f>
        <v>---</v>
      </c>
      <c r="K188" s="40">
        <f t="shared" si="11"/>
        <v>47057</v>
      </c>
    </row>
    <row r="189" spans="1:11" x14ac:dyDescent="0.2">
      <c r="A189" s="18" t="s">
        <v>273</v>
      </c>
      <c r="B189" s="2">
        <v>44137</v>
      </c>
      <c r="C189" s="2">
        <v>47087</v>
      </c>
      <c r="D189" s="2">
        <v>47088</v>
      </c>
      <c r="E189" s="37" t="s">
        <v>422</v>
      </c>
      <c r="F189" s="2">
        <f t="shared" si="9"/>
        <v>47087</v>
      </c>
      <c r="G189" t="str">
        <f t="shared" si="10"/>
        <v>BZ</v>
      </c>
      <c r="H189" s="35" t="str">
        <f t="shared" si="8"/>
        <v>NYMEX</v>
      </c>
      <c r="I189" t="str" cm="1">
        <f t="array" ref="I189">IFERROR(INDEX(Spreads!A:A,MATCH(1, (Spreads!E:E=G189)*(Spreads!C:C&gt;=F189), 0)),"---")</f>
        <v>---</v>
      </c>
      <c r="J189" s="40" t="str">
        <f>IFERROR(INDEX(Spreads!C:C, MATCH('CME Data'!I189,Spreads!A:A,0)),"---")</f>
        <v>---</v>
      </c>
      <c r="K189" s="40">
        <f t="shared" si="11"/>
        <v>47087</v>
      </c>
    </row>
    <row r="190" spans="1:11" x14ac:dyDescent="0.2">
      <c r="A190" s="18" t="s">
        <v>274</v>
      </c>
      <c r="B190" s="2">
        <v>44137</v>
      </c>
      <c r="C190" s="2">
        <v>47115</v>
      </c>
      <c r="D190" s="2">
        <v>47116</v>
      </c>
      <c r="E190" s="37" t="s">
        <v>422</v>
      </c>
      <c r="F190" s="2">
        <f t="shared" si="9"/>
        <v>47115</v>
      </c>
      <c r="G190" t="str">
        <f t="shared" si="10"/>
        <v>BZ</v>
      </c>
      <c r="H190" s="35" t="str">
        <f t="shared" si="8"/>
        <v>NYMEX</v>
      </c>
      <c r="I190" t="str" cm="1">
        <f t="array" ref="I190">IFERROR(INDEX(Spreads!A:A,MATCH(1, (Spreads!E:E=G190)*(Spreads!C:C&gt;=F190), 0)),"---")</f>
        <v>---</v>
      </c>
      <c r="J190" s="40" t="str">
        <f>IFERROR(INDEX(Spreads!C:C, MATCH('CME Data'!I190,Spreads!A:A,0)),"---")</f>
        <v>---</v>
      </c>
      <c r="K190" s="40">
        <f t="shared" si="11"/>
        <v>47115</v>
      </c>
    </row>
    <row r="191" spans="1:11" x14ac:dyDescent="0.2">
      <c r="A191" s="18" t="s">
        <v>275</v>
      </c>
      <c r="B191" s="2">
        <v>44137</v>
      </c>
      <c r="C191" s="2">
        <v>47149</v>
      </c>
      <c r="D191" s="2">
        <v>47150</v>
      </c>
      <c r="E191" s="37" t="s">
        <v>422</v>
      </c>
      <c r="F191" s="2">
        <f t="shared" si="9"/>
        <v>47149</v>
      </c>
      <c r="G191" t="str">
        <f t="shared" si="10"/>
        <v>BZ</v>
      </c>
      <c r="H191" s="35" t="str">
        <f t="shared" si="8"/>
        <v>NYMEX</v>
      </c>
      <c r="I191" t="str" cm="1">
        <f t="array" ref="I191">IFERROR(INDEX(Spreads!A:A,MATCH(1, (Spreads!E:E=G191)*(Spreads!C:C&gt;=F191), 0)),"---")</f>
        <v>---</v>
      </c>
      <c r="J191" s="40" t="str">
        <f>IFERROR(INDEX(Spreads!C:C, MATCH('CME Data'!I191,Spreads!A:A,0)),"---")</f>
        <v>---</v>
      </c>
      <c r="K191" s="40">
        <f t="shared" si="11"/>
        <v>47149</v>
      </c>
    </row>
    <row r="192" spans="1:11" x14ac:dyDescent="0.2">
      <c r="A192" s="18" t="s">
        <v>276</v>
      </c>
      <c r="B192" s="2">
        <v>44501</v>
      </c>
      <c r="C192" s="2">
        <v>47177</v>
      </c>
      <c r="D192" s="2">
        <v>47178</v>
      </c>
      <c r="E192" s="37" t="s">
        <v>422</v>
      </c>
      <c r="F192" s="2">
        <f t="shared" si="9"/>
        <v>47177</v>
      </c>
      <c r="G192" t="str">
        <f t="shared" si="10"/>
        <v>BZ</v>
      </c>
      <c r="H192" s="35" t="str">
        <f t="shared" si="8"/>
        <v>NYMEX</v>
      </c>
      <c r="I192" t="str" cm="1">
        <f t="array" ref="I192">IFERROR(INDEX(Spreads!A:A,MATCH(1, (Spreads!E:E=G192)*(Spreads!C:C&gt;=F192), 0)),"---")</f>
        <v>---</v>
      </c>
      <c r="J192" s="40" t="str">
        <f>IFERROR(INDEX(Spreads!C:C, MATCH('CME Data'!I192,Spreads!A:A,0)),"---")</f>
        <v>---</v>
      </c>
      <c r="K192" s="40">
        <f t="shared" si="11"/>
        <v>47177</v>
      </c>
    </row>
    <row r="193" spans="1:11" x14ac:dyDescent="0.2">
      <c r="A193" s="18" t="s">
        <v>277</v>
      </c>
      <c r="B193" s="2">
        <v>44501</v>
      </c>
      <c r="C193" s="2">
        <v>47206</v>
      </c>
      <c r="D193" s="2">
        <v>47210</v>
      </c>
      <c r="E193" s="37" t="s">
        <v>422</v>
      </c>
      <c r="F193" s="2">
        <f t="shared" si="9"/>
        <v>47206</v>
      </c>
      <c r="G193" t="str">
        <f t="shared" si="10"/>
        <v>BZ</v>
      </c>
      <c r="H193" s="35" t="str">
        <f t="shared" si="8"/>
        <v>NYMEX</v>
      </c>
      <c r="I193" t="str" cm="1">
        <f t="array" ref="I193">IFERROR(INDEX(Spreads!A:A,MATCH(1, (Spreads!E:E=G193)*(Spreads!C:C&gt;=F193), 0)),"---")</f>
        <v>---</v>
      </c>
      <c r="J193" s="40" t="str">
        <f>IFERROR(INDEX(Spreads!C:C, MATCH('CME Data'!I193,Spreads!A:A,0)),"---")</f>
        <v>---</v>
      </c>
      <c r="K193" s="40">
        <f t="shared" si="11"/>
        <v>47206</v>
      </c>
    </row>
    <row r="194" spans="1:11" x14ac:dyDescent="0.2">
      <c r="A194" s="18" t="s">
        <v>278</v>
      </c>
      <c r="B194" s="2">
        <v>44501</v>
      </c>
      <c r="C194" s="2">
        <v>47238</v>
      </c>
      <c r="D194" s="2">
        <v>47239</v>
      </c>
      <c r="E194" s="37" t="s">
        <v>422</v>
      </c>
      <c r="F194" s="2">
        <f t="shared" si="9"/>
        <v>47238</v>
      </c>
      <c r="G194" t="str">
        <f t="shared" si="10"/>
        <v>BZ</v>
      </c>
      <c r="H194" s="35" t="str">
        <f t="shared" si="8"/>
        <v>NYMEX</v>
      </c>
      <c r="I194" t="str" cm="1">
        <f t="array" ref="I194">IFERROR(INDEX(Spreads!A:A,MATCH(1, (Spreads!E:E=G194)*(Spreads!C:C&gt;=F194), 0)),"---")</f>
        <v>---</v>
      </c>
      <c r="J194" s="40" t="str">
        <f>IFERROR(INDEX(Spreads!C:C, MATCH('CME Data'!I194,Spreads!A:A,0)),"---")</f>
        <v>---</v>
      </c>
      <c r="K194" s="40">
        <f t="shared" si="11"/>
        <v>47238</v>
      </c>
    </row>
    <row r="195" spans="1:11" x14ac:dyDescent="0.2">
      <c r="A195" s="18" t="s">
        <v>279</v>
      </c>
      <c r="B195" s="2">
        <v>44501</v>
      </c>
      <c r="C195" s="2">
        <v>47269</v>
      </c>
      <c r="D195" s="2">
        <v>47270</v>
      </c>
      <c r="E195" s="37" t="s">
        <v>422</v>
      </c>
      <c r="F195" s="2">
        <f t="shared" si="9"/>
        <v>47269</v>
      </c>
      <c r="G195" t="str">
        <f t="shared" si="10"/>
        <v>BZ</v>
      </c>
      <c r="H195" s="35" t="str">
        <f t="shared" ref="H195:H258" si="12">IFERROR(INDEX(O:O, MATCH(G195,N:N,0)),"---")</f>
        <v>NYMEX</v>
      </c>
      <c r="I195" t="str" cm="1">
        <f t="array" ref="I195">IFERROR(INDEX(Spreads!A:A,MATCH(1, (Spreads!E:E=G195)*(Spreads!C:C&gt;=F195), 0)),"---")</f>
        <v>---</v>
      </c>
      <c r="J195" s="40" t="str">
        <f>IFERROR(INDEX(Spreads!C:C, MATCH('CME Data'!I195,Spreads!A:A,0)),"---")</f>
        <v>---</v>
      </c>
      <c r="K195" s="40">
        <f t="shared" si="11"/>
        <v>47269</v>
      </c>
    </row>
    <row r="196" spans="1:11" x14ac:dyDescent="0.2">
      <c r="A196" s="18" t="s">
        <v>280</v>
      </c>
      <c r="B196" s="2">
        <v>44501</v>
      </c>
      <c r="C196" s="2">
        <v>47298</v>
      </c>
      <c r="D196" s="2">
        <v>47301</v>
      </c>
      <c r="E196" s="37" t="s">
        <v>422</v>
      </c>
      <c r="F196" s="2">
        <f t="shared" ref="F196:F258" si="13">MIN(C196:E196)</f>
        <v>47298</v>
      </c>
      <c r="G196" t="str">
        <f t="shared" ref="G196:G258" si="14">MID(A196,1,LEN(A196)-3)</f>
        <v>BZ</v>
      </c>
      <c r="H196" s="35" t="str">
        <f t="shared" si="12"/>
        <v>NYMEX</v>
      </c>
      <c r="I196" t="str" cm="1">
        <f t="array" ref="I196">IFERROR(INDEX(Spreads!A:A,MATCH(1, (Spreads!E:E=G196)*(Spreads!C:C&gt;=F196), 0)),"---")</f>
        <v>---</v>
      </c>
      <c r="J196" s="40" t="str">
        <f>IFERROR(INDEX(Spreads!C:C, MATCH('CME Data'!I196,Spreads!A:A,0)),"---")</f>
        <v>---</v>
      </c>
      <c r="K196" s="40">
        <f t="shared" ref="K196:K259" si="15">MIN(J196,F196)</f>
        <v>47298</v>
      </c>
    </row>
    <row r="197" spans="1:11" x14ac:dyDescent="0.2">
      <c r="A197" s="18" t="s">
        <v>281</v>
      </c>
      <c r="B197" s="2">
        <v>44501</v>
      </c>
      <c r="C197" s="2">
        <v>47330</v>
      </c>
      <c r="D197" s="2">
        <v>47331</v>
      </c>
      <c r="E197" s="37" t="s">
        <v>422</v>
      </c>
      <c r="F197" s="2">
        <f t="shared" si="13"/>
        <v>47330</v>
      </c>
      <c r="G197" t="str">
        <f t="shared" si="14"/>
        <v>BZ</v>
      </c>
      <c r="H197" s="35" t="str">
        <f t="shared" si="12"/>
        <v>NYMEX</v>
      </c>
      <c r="I197" t="str" cm="1">
        <f t="array" ref="I197">IFERROR(INDEX(Spreads!A:A,MATCH(1, (Spreads!E:E=G197)*(Spreads!C:C&gt;=F197), 0)),"---")</f>
        <v>---</v>
      </c>
      <c r="J197" s="40" t="str">
        <f>IFERROR(INDEX(Spreads!C:C, MATCH('CME Data'!I197,Spreads!A:A,0)),"---")</f>
        <v>---</v>
      </c>
      <c r="K197" s="40">
        <f t="shared" si="15"/>
        <v>47330</v>
      </c>
    </row>
    <row r="198" spans="1:11" x14ac:dyDescent="0.2">
      <c r="A198" s="18" t="s">
        <v>282</v>
      </c>
      <c r="B198" s="2">
        <v>44501</v>
      </c>
      <c r="C198" s="2">
        <v>47361</v>
      </c>
      <c r="D198" s="2">
        <v>47365</v>
      </c>
      <c r="E198" s="37" t="s">
        <v>422</v>
      </c>
      <c r="F198" s="2">
        <f t="shared" si="13"/>
        <v>47361</v>
      </c>
      <c r="G198" t="str">
        <f t="shared" si="14"/>
        <v>BZ</v>
      </c>
      <c r="H198" s="35" t="str">
        <f t="shared" si="12"/>
        <v>NYMEX</v>
      </c>
      <c r="I198" t="str" cm="1">
        <f t="array" ref="I198">IFERROR(INDEX(Spreads!A:A,MATCH(1, (Spreads!E:E=G198)*(Spreads!C:C&gt;=F198), 0)),"---")</f>
        <v>---</v>
      </c>
      <c r="J198" s="40" t="str">
        <f>IFERROR(INDEX(Spreads!C:C, MATCH('CME Data'!I198,Spreads!A:A,0)),"---")</f>
        <v>---</v>
      </c>
      <c r="K198" s="40">
        <f t="shared" si="15"/>
        <v>47361</v>
      </c>
    </row>
    <row r="199" spans="1:11" x14ac:dyDescent="0.2">
      <c r="A199" s="18" t="s">
        <v>283</v>
      </c>
      <c r="B199" s="2">
        <v>44501</v>
      </c>
      <c r="C199" s="2">
        <v>47389</v>
      </c>
      <c r="D199" s="2">
        <v>47392</v>
      </c>
      <c r="E199" s="37" t="s">
        <v>422</v>
      </c>
      <c r="F199" s="2">
        <f t="shared" si="13"/>
        <v>47389</v>
      </c>
      <c r="G199" t="str">
        <f t="shared" si="14"/>
        <v>BZ</v>
      </c>
      <c r="H199" s="35" t="str">
        <f t="shared" si="12"/>
        <v>NYMEX</v>
      </c>
      <c r="I199" t="str" cm="1">
        <f t="array" ref="I199">IFERROR(INDEX(Spreads!A:A,MATCH(1, (Spreads!E:E=G199)*(Spreads!C:C&gt;=F199), 0)),"---")</f>
        <v>---</v>
      </c>
      <c r="J199" s="40" t="str">
        <f>IFERROR(INDEX(Spreads!C:C, MATCH('CME Data'!I199,Spreads!A:A,0)),"---")</f>
        <v>---</v>
      </c>
      <c r="K199" s="40">
        <f t="shared" si="15"/>
        <v>47389</v>
      </c>
    </row>
    <row r="200" spans="1:11" x14ac:dyDescent="0.2">
      <c r="A200" s="18" t="s">
        <v>284</v>
      </c>
      <c r="B200" s="2">
        <v>44501</v>
      </c>
      <c r="C200" s="2">
        <v>47422</v>
      </c>
      <c r="D200" s="2">
        <v>47423</v>
      </c>
      <c r="E200" s="37" t="s">
        <v>422</v>
      </c>
      <c r="F200" s="2">
        <f t="shared" si="13"/>
        <v>47422</v>
      </c>
      <c r="G200" t="str">
        <f t="shared" si="14"/>
        <v>BZ</v>
      </c>
      <c r="H200" s="35" t="str">
        <f t="shared" si="12"/>
        <v>NYMEX</v>
      </c>
      <c r="I200" t="str" cm="1">
        <f t="array" ref="I200">IFERROR(INDEX(Spreads!A:A,MATCH(1, (Spreads!E:E=G200)*(Spreads!C:C&gt;=F200), 0)),"---")</f>
        <v>---</v>
      </c>
      <c r="J200" s="40" t="str">
        <f>IFERROR(INDEX(Spreads!C:C, MATCH('CME Data'!I200,Spreads!A:A,0)),"---")</f>
        <v>---</v>
      </c>
      <c r="K200" s="40">
        <f t="shared" si="15"/>
        <v>47422</v>
      </c>
    </row>
    <row r="201" spans="1:11" x14ac:dyDescent="0.2">
      <c r="A201" s="18" t="s">
        <v>285</v>
      </c>
      <c r="B201" s="2">
        <v>44501</v>
      </c>
      <c r="C201" s="2">
        <v>47452</v>
      </c>
      <c r="D201" s="2">
        <v>47455</v>
      </c>
      <c r="E201" s="37" t="s">
        <v>422</v>
      </c>
      <c r="F201" s="2">
        <f t="shared" si="13"/>
        <v>47452</v>
      </c>
      <c r="G201" t="str">
        <f t="shared" si="14"/>
        <v>BZ</v>
      </c>
      <c r="H201" s="35" t="str">
        <f t="shared" si="12"/>
        <v>NYMEX</v>
      </c>
      <c r="I201" t="str" cm="1">
        <f t="array" ref="I201">IFERROR(INDEX(Spreads!A:A,MATCH(1, (Spreads!E:E=G201)*(Spreads!C:C&gt;=F201), 0)),"---")</f>
        <v>---</v>
      </c>
      <c r="J201" s="40" t="str">
        <f>IFERROR(INDEX(Spreads!C:C, MATCH('CME Data'!I201,Spreads!A:A,0)),"---")</f>
        <v>---</v>
      </c>
      <c r="K201" s="40">
        <f t="shared" si="15"/>
        <v>47452</v>
      </c>
    </row>
    <row r="202" spans="1:11" x14ac:dyDescent="0.2">
      <c r="A202" s="18" t="s">
        <v>286</v>
      </c>
      <c r="B202" s="2">
        <v>44501</v>
      </c>
      <c r="C202" s="2">
        <v>47480</v>
      </c>
      <c r="D202" s="2">
        <v>47483</v>
      </c>
      <c r="E202" s="37" t="s">
        <v>422</v>
      </c>
      <c r="F202" s="2">
        <f t="shared" si="13"/>
        <v>47480</v>
      </c>
      <c r="G202" t="str">
        <f t="shared" si="14"/>
        <v>BZ</v>
      </c>
      <c r="H202" s="35" t="str">
        <f t="shared" si="12"/>
        <v>NYMEX</v>
      </c>
      <c r="I202" t="str" cm="1">
        <f t="array" ref="I202">IFERROR(INDEX(Spreads!A:A,MATCH(1, (Spreads!E:E=G202)*(Spreads!C:C&gt;=F202), 0)),"---")</f>
        <v>---</v>
      </c>
      <c r="J202" s="40" t="str">
        <f>IFERROR(INDEX(Spreads!C:C, MATCH('CME Data'!I202,Spreads!A:A,0)),"---")</f>
        <v>---</v>
      </c>
      <c r="K202" s="40">
        <f t="shared" si="15"/>
        <v>47480</v>
      </c>
    </row>
    <row r="203" spans="1:11" x14ac:dyDescent="0.2">
      <c r="A203" s="18" t="s">
        <v>287</v>
      </c>
      <c r="B203" s="2">
        <v>44501</v>
      </c>
      <c r="C203" s="2">
        <v>47514</v>
      </c>
      <c r="D203" s="2">
        <v>47515</v>
      </c>
      <c r="E203" s="37" t="s">
        <v>422</v>
      </c>
      <c r="F203" s="2">
        <f t="shared" si="13"/>
        <v>47514</v>
      </c>
      <c r="G203" t="str">
        <f t="shared" si="14"/>
        <v>BZ</v>
      </c>
      <c r="H203" s="35" t="str">
        <f t="shared" si="12"/>
        <v>NYMEX</v>
      </c>
      <c r="I203" t="str" cm="1">
        <f t="array" ref="I203">IFERROR(INDEX(Spreads!A:A,MATCH(1, (Spreads!E:E=G203)*(Spreads!C:C&gt;=F203), 0)),"---")</f>
        <v>---</v>
      </c>
      <c r="J203" s="40" t="str">
        <f>IFERROR(INDEX(Spreads!C:C, MATCH('CME Data'!I203,Spreads!A:A,0)),"---")</f>
        <v>---</v>
      </c>
      <c r="K203" s="40">
        <f t="shared" si="15"/>
        <v>47514</v>
      </c>
    </row>
    <row r="204" spans="1:11" x14ac:dyDescent="0.2">
      <c r="A204" s="18" t="s">
        <v>288</v>
      </c>
      <c r="B204" s="2">
        <v>44866</v>
      </c>
      <c r="C204" s="2">
        <v>47542</v>
      </c>
      <c r="D204" s="2">
        <v>47543</v>
      </c>
      <c r="E204" s="37" t="s">
        <v>422</v>
      </c>
      <c r="F204" s="2">
        <f t="shared" si="13"/>
        <v>47542</v>
      </c>
      <c r="G204" t="str">
        <f t="shared" si="14"/>
        <v>BZ</v>
      </c>
      <c r="H204" s="35" t="str">
        <f t="shared" si="12"/>
        <v>NYMEX</v>
      </c>
      <c r="I204" t="str" cm="1">
        <f t="array" ref="I204">IFERROR(INDEX(Spreads!A:A,MATCH(1, (Spreads!E:E=G204)*(Spreads!C:C&gt;=F204), 0)),"---")</f>
        <v>---</v>
      </c>
      <c r="J204" s="40" t="str">
        <f>IFERROR(INDEX(Spreads!C:C, MATCH('CME Data'!I204,Spreads!A:A,0)),"---")</f>
        <v>---</v>
      </c>
      <c r="K204" s="40">
        <f t="shared" si="15"/>
        <v>47542</v>
      </c>
    </row>
    <row r="205" spans="1:11" x14ac:dyDescent="0.2">
      <c r="A205" s="18" t="s">
        <v>289</v>
      </c>
      <c r="B205" s="2">
        <v>44866</v>
      </c>
      <c r="C205" s="2">
        <v>47571</v>
      </c>
      <c r="D205" s="2">
        <v>47574</v>
      </c>
      <c r="E205" s="37" t="s">
        <v>422</v>
      </c>
      <c r="F205" s="2">
        <f t="shared" si="13"/>
        <v>47571</v>
      </c>
      <c r="G205" t="str">
        <f t="shared" si="14"/>
        <v>BZ</v>
      </c>
      <c r="H205" s="35" t="str">
        <f t="shared" si="12"/>
        <v>NYMEX</v>
      </c>
      <c r="I205" t="str" cm="1">
        <f t="array" ref="I205">IFERROR(INDEX(Spreads!A:A,MATCH(1, (Spreads!E:E=G205)*(Spreads!C:C&gt;=F205), 0)),"---")</f>
        <v>---</v>
      </c>
      <c r="J205" s="40" t="str">
        <f>IFERROR(INDEX(Spreads!C:C, MATCH('CME Data'!I205,Spreads!A:A,0)),"---")</f>
        <v>---</v>
      </c>
      <c r="K205" s="40">
        <f t="shared" si="15"/>
        <v>47571</v>
      </c>
    </row>
    <row r="206" spans="1:11" x14ac:dyDescent="0.2">
      <c r="A206" s="18" t="s">
        <v>290</v>
      </c>
      <c r="B206" s="2">
        <v>44866</v>
      </c>
      <c r="C206" s="2">
        <v>47603</v>
      </c>
      <c r="D206" s="2">
        <v>47604</v>
      </c>
      <c r="E206" s="37" t="s">
        <v>422</v>
      </c>
      <c r="F206" s="2">
        <f t="shared" si="13"/>
        <v>47603</v>
      </c>
      <c r="G206" t="str">
        <f t="shared" si="14"/>
        <v>BZ</v>
      </c>
      <c r="H206" s="35" t="str">
        <f t="shared" si="12"/>
        <v>NYMEX</v>
      </c>
      <c r="I206" t="str" cm="1">
        <f t="array" ref="I206">IFERROR(INDEX(Spreads!A:A,MATCH(1, (Spreads!E:E=G206)*(Spreads!C:C&gt;=F206), 0)),"---")</f>
        <v>---</v>
      </c>
      <c r="J206" s="40" t="str">
        <f>IFERROR(INDEX(Spreads!C:C, MATCH('CME Data'!I206,Spreads!A:A,0)),"---")</f>
        <v>---</v>
      </c>
      <c r="K206" s="40">
        <f t="shared" si="15"/>
        <v>47603</v>
      </c>
    </row>
    <row r="207" spans="1:11" x14ac:dyDescent="0.2">
      <c r="A207" s="18" t="s">
        <v>291</v>
      </c>
      <c r="B207" s="2">
        <v>44866</v>
      </c>
      <c r="C207" s="2">
        <v>47634</v>
      </c>
      <c r="D207" s="2">
        <v>47637</v>
      </c>
      <c r="E207" s="37" t="s">
        <v>422</v>
      </c>
      <c r="F207" s="2">
        <f t="shared" si="13"/>
        <v>47634</v>
      </c>
      <c r="G207" t="str">
        <f t="shared" si="14"/>
        <v>BZ</v>
      </c>
      <c r="H207" s="35" t="str">
        <f t="shared" si="12"/>
        <v>NYMEX</v>
      </c>
      <c r="I207" t="str" cm="1">
        <f t="array" ref="I207">IFERROR(INDEX(Spreads!A:A,MATCH(1, (Spreads!E:E=G207)*(Spreads!C:C&gt;=F207), 0)),"---")</f>
        <v>---</v>
      </c>
      <c r="J207" s="40" t="str">
        <f>IFERROR(INDEX(Spreads!C:C, MATCH('CME Data'!I207,Spreads!A:A,0)),"---")</f>
        <v>---</v>
      </c>
      <c r="K207" s="40">
        <f t="shared" si="15"/>
        <v>47634</v>
      </c>
    </row>
    <row r="208" spans="1:11" x14ac:dyDescent="0.2">
      <c r="A208" s="18" t="s">
        <v>292</v>
      </c>
      <c r="B208" s="2">
        <v>44866</v>
      </c>
      <c r="C208" s="2">
        <v>47662</v>
      </c>
      <c r="D208" s="2">
        <v>47665</v>
      </c>
      <c r="E208" s="37" t="s">
        <v>422</v>
      </c>
      <c r="F208" s="2">
        <f t="shared" si="13"/>
        <v>47662</v>
      </c>
      <c r="G208" t="str">
        <f t="shared" si="14"/>
        <v>BZ</v>
      </c>
      <c r="H208" s="35" t="str">
        <f t="shared" si="12"/>
        <v>NYMEX</v>
      </c>
      <c r="I208" t="str" cm="1">
        <f t="array" ref="I208">IFERROR(INDEX(Spreads!A:A,MATCH(1, (Spreads!E:E=G208)*(Spreads!C:C&gt;=F208), 0)),"---")</f>
        <v>---</v>
      </c>
      <c r="J208" s="40" t="str">
        <f>IFERROR(INDEX(Spreads!C:C, MATCH('CME Data'!I208,Spreads!A:A,0)),"---")</f>
        <v>---</v>
      </c>
      <c r="K208" s="40">
        <f t="shared" si="15"/>
        <v>47662</v>
      </c>
    </row>
    <row r="209" spans="1:11" x14ac:dyDescent="0.2">
      <c r="A209" s="18" t="s">
        <v>293</v>
      </c>
      <c r="B209" s="2">
        <v>44866</v>
      </c>
      <c r="C209" s="2">
        <v>47695</v>
      </c>
      <c r="D209" s="2">
        <v>47696</v>
      </c>
      <c r="E209" s="37" t="s">
        <v>422</v>
      </c>
      <c r="F209" s="2">
        <f t="shared" si="13"/>
        <v>47695</v>
      </c>
      <c r="G209" t="str">
        <f t="shared" si="14"/>
        <v>BZ</v>
      </c>
      <c r="H209" s="35" t="str">
        <f t="shared" si="12"/>
        <v>NYMEX</v>
      </c>
      <c r="I209" t="str" cm="1">
        <f t="array" ref="I209">IFERROR(INDEX(Spreads!A:A,MATCH(1, (Spreads!E:E=G209)*(Spreads!C:C&gt;=F209), 0)),"---")</f>
        <v>---</v>
      </c>
      <c r="J209" s="40" t="str">
        <f>IFERROR(INDEX(Spreads!C:C, MATCH('CME Data'!I209,Spreads!A:A,0)),"---")</f>
        <v>---</v>
      </c>
      <c r="K209" s="40">
        <f t="shared" si="15"/>
        <v>47695</v>
      </c>
    </row>
    <row r="210" spans="1:11" x14ac:dyDescent="0.2">
      <c r="A210" s="18" t="s">
        <v>294</v>
      </c>
      <c r="B210" s="2">
        <v>44866</v>
      </c>
      <c r="C210" s="2">
        <v>47725</v>
      </c>
      <c r="D210" s="2">
        <v>47729</v>
      </c>
      <c r="E210" s="37" t="s">
        <v>422</v>
      </c>
      <c r="F210" s="2">
        <f t="shared" si="13"/>
        <v>47725</v>
      </c>
      <c r="G210" t="str">
        <f t="shared" si="14"/>
        <v>BZ</v>
      </c>
      <c r="H210" s="35" t="str">
        <f t="shared" si="12"/>
        <v>NYMEX</v>
      </c>
      <c r="I210" t="str" cm="1">
        <f t="array" ref="I210">IFERROR(INDEX(Spreads!A:A,MATCH(1, (Spreads!E:E=G210)*(Spreads!C:C&gt;=F210), 0)),"---")</f>
        <v>---</v>
      </c>
      <c r="J210" s="40" t="str">
        <f>IFERROR(INDEX(Spreads!C:C, MATCH('CME Data'!I210,Spreads!A:A,0)),"---")</f>
        <v>---</v>
      </c>
      <c r="K210" s="40">
        <f t="shared" si="15"/>
        <v>47725</v>
      </c>
    </row>
    <row r="211" spans="1:11" x14ac:dyDescent="0.2">
      <c r="A211" s="18" t="s">
        <v>295</v>
      </c>
      <c r="B211" s="2">
        <v>44866</v>
      </c>
      <c r="C211" s="2">
        <v>47756</v>
      </c>
      <c r="D211" s="2">
        <v>47757</v>
      </c>
      <c r="E211" s="37" t="s">
        <v>422</v>
      </c>
      <c r="F211" s="2">
        <f t="shared" si="13"/>
        <v>47756</v>
      </c>
      <c r="G211" t="str">
        <f t="shared" si="14"/>
        <v>BZ</v>
      </c>
      <c r="H211" s="35" t="str">
        <f t="shared" si="12"/>
        <v>NYMEX</v>
      </c>
      <c r="I211" t="str" cm="1">
        <f t="array" ref="I211">IFERROR(INDEX(Spreads!A:A,MATCH(1, (Spreads!E:E=G211)*(Spreads!C:C&gt;=F211), 0)),"---")</f>
        <v>---</v>
      </c>
      <c r="J211" s="40" t="str">
        <f>IFERROR(INDEX(Spreads!C:C, MATCH('CME Data'!I211,Spreads!A:A,0)),"---")</f>
        <v>---</v>
      </c>
      <c r="K211" s="40">
        <f t="shared" si="15"/>
        <v>47756</v>
      </c>
    </row>
    <row r="212" spans="1:11" x14ac:dyDescent="0.2">
      <c r="A212" s="18" t="s">
        <v>296</v>
      </c>
      <c r="B212" s="2">
        <v>44866</v>
      </c>
      <c r="C212" s="2">
        <v>47787</v>
      </c>
      <c r="D212" s="2">
        <v>47788</v>
      </c>
      <c r="E212" s="37" t="s">
        <v>422</v>
      </c>
      <c r="F212" s="2">
        <f t="shared" si="13"/>
        <v>47787</v>
      </c>
      <c r="G212" t="str">
        <f t="shared" si="14"/>
        <v>BZ</v>
      </c>
      <c r="H212" s="35" t="str">
        <f t="shared" si="12"/>
        <v>NYMEX</v>
      </c>
      <c r="I212" t="str" cm="1">
        <f t="array" ref="I212">IFERROR(INDEX(Spreads!A:A,MATCH(1, (Spreads!E:E=G212)*(Spreads!C:C&gt;=F212), 0)),"---")</f>
        <v>---</v>
      </c>
      <c r="J212" s="40" t="str">
        <f>IFERROR(INDEX(Spreads!C:C, MATCH('CME Data'!I212,Spreads!A:A,0)),"---")</f>
        <v>---</v>
      </c>
      <c r="K212" s="40">
        <f t="shared" si="15"/>
        <v>47787</v>
      </c>
    </row>
    <row r="213" spans="1:11" x14ac:dyDescent="0.2">
      <c r="A213" s="18" t="s">
        <v>297</v>
      </c>
      <c r="B213" s="2">
        <v>44866</v>
      </c>
      <c r="C213" s="2">
        <v>47816</v>
      </c>
      <c r="D213" s="2">
        <v>47819</v>
      </c>
      <c r="E213" s="37" t="s">
        <v>422</v>
      </c>
      <c r="F213" s="2">
        <f t="shared" si="13"/>
        <v>47816</v>
      </c>
      <c r="G213" t="str">
        <f t="shared" si="14"/>
        <v>BZ</v>
      </c>
      <c r="H213" s="35" t="str">
        <f t="shared" si="12"/>
        <v>NYMEX</v>
      </c>
      <c r="I213" t="str" cm="1">
        <f t="array" ref="I213">IFERROR(INDEX(Spreads!A:A,MATCH(1, (Spreads!E:E=G213)*(Spreads!C:C&gt;=F213), 0)),"---")</f>
        <v>---</v>
      </c>
      <c r="J213" s="40" t="str">
        <f>IFERROR(INDEX(Spreads!C:C, MATCH('CME Data'!I213,Spreads!A:A,0)),"---")</f>
        <v>---</v>
      </c>
      <c r="K213" s="40">
        <f t="shared" si="15"/>
        <v>47816</v>
      </c>
    </row>
    <row r="214" spans="1:11" x14ac:dyDescent="0.2">
      <c r="A214" s="18" t="s">
        <v>298</v>
      </c>
      <c r="B214" s="2">
        <v>44866</v>
      </c>
      <c r="C214" s="2">
        <v>47847</v>
      </c>
      <c r="D214" s="2">
        <v>47848</v>
      </c>
      <c r="E214" s="37" t="s">
        <v>422</v>
      </c>
      <c r="F214" s="2">
        <f t="shared" si="13"/>
        <v>47847</v>
      </c>
      <c r="G214" t="str">
        <f t="shared" si="14"/>
        <v>BZ</v>
      </c>
      <c r="H214" s="35" t="str">
        <f t="shared" si="12"/>
        <v>NYMEX</v>
      </c>
      <c r="I214" t="str" cm="1">
        <f t="array" ref="I214">IFERROR(INDEX(Spreads!A:A,MATCH(1, (Spreads!E:E=G214)*(Spreads!C:C&gt;=F214), 0)),"---")</f>
        <v>---</v>
      </c>
      <c r="J214" s="40" t="str">
        <f>IFERROR(INDEX(Spreads!C:C, MATCH('CME Data'!I214,Spreads!A:A,0)),"---")</f>
        <v>---</v>
      </c>
      <c r="K214" s="40">
        <f t="shared" si="15"/>
        <v>47847</v>
      </c>
    </row>
    <row r="215" spans="1:11" x14ac:dyDescent="0.2">
      <c r="A215" s="18" t="s">
        <v>299</v>
      </c>
      <c r="B215" s="2">
        <v>44866</v>
      </c>
      <c r="C215" s="2">
        <v>47879</v>
      </c>
      <c r="D215" s="2">
        <v>47882</v>
      </c>
      <c r="E215" s="37" t="s">
        <v>422</v>
      </c>
      <c r="F215" s="2">
        <f t="shared" si="13"/>
        <v>47879</v>
      </c>
      <c r="G215" t="str">
        <f t="shared" si="14"/>
        <v>BZ</v>
      </c>
      <c r="H215" s="35" t="str">
        <f t="shared" si="12"/>
        <v>NYMEX</v>
      </c>
      <c r="I215" t="str" cm="1">
        <f t="array" ref="I215">IFERROR(INDEX(Spreads!A:A,MATCH(1, (Spreads!E:E=G215)*(Spreads!C:C&gt;=F215), 0)),"---")</f>
        <v>---</v>
      </c>
      <c r="J215" s="40" t="str">
        <f>IFERROR(INDEX(Spreads!C:C, MATCH('CME Data'!I215,Spreads!A:A,0)),"---")</f>
        <v>---</v>
      </c>
      <c r="K215" s="40">
        <f t="shared" si="15"/>
        <v>47879</v>
      </c>
    </row>
    <row r="216" spans="1:11" x14ac:dyDescent="0.2">
      <c r="A216" s="18" t="s">
        <v>300</v>
      </c>
      <c r="B216" s="2">
        <v>45231</v>
      </c>
      <c r="C216" s="2">
        <v>47907</v>
      </c>
      <c r="D216" s="2">
        <v>47910</v>
      </c>
      <c r="E216" s="37" t="s">
        <v>422</v>
      </c>
      <c r="F216" s="2">
        <f t="shared" si="13"/>
        <v>47907</v>
      </c>
      <c r="G216" t="str">
        <f t="shared" si="14"/>
        <v>BZ</v>
      </c>
      <c r="H216" s="35" t="str">
        <f t="shared" si="12"/>
        <v>NYMEX</v>
      </c>
      <c r="I216" t="str" cm="1">
        <f t="array" ref="I216">IFERROR(INDEX(Spreads!A:A,MATCH(1, (Spreads!E:E=G216)*(Spreads!C:C&gt;=F216), 0)),"---")</f>
        <v>---</v>
      </c>
      <c r="J216" s="40" t="str">
        <f>IFERROR(INDEX(Spreads!C:C, MATCH('CME Data'!I216,Spreads!A:A,0)),"---")</f>
        <v>---</v>
      </c>
      <c r="K216" s="40">
        <f t="shared" si="15"/>
        <v>47907</v>
      </c>
    </row>
    <row r="217" spans="1:11" x14ac:dyDescent="0.2">
      <c r="A217" s="18" t="s">
        <v>301</v>
      </c>
      <c r="B217" s="2">
        <v>45231</v>
      </c>
      <c r="C217" s="2">
        <v>47938</v>
      </c>
      <c r="D217" s="2">
        <v>47939</v>
      </c>
      <c r="E217" s="37" t="s">
        <v>422</v>
      </c>
      <c r="F217" s="2">
        <f t="shared" si="13"/>
        <v>47938</v>
      </c>
      <c r="G217" t="str">
        <f t="shared" si="14"/>
        <v>BZ</v>
      </c>
      <c r="H217" s="35" t="str">
        <f t="shared" si="12"/>
        <v>NYMEX</v>
      </c>
      <c r="I217" t="str" cm="1">
        <f t="array" ref="I217">IFERROR(INDEX(Spreads!A:A,MATCH(1, (Spreads!E:E=G217)*(Spreads!C:C&gt;=F217), 0)),"---")</f>
        <v>---</v>
      </c>
      <c r="J217" s="40" t="str">
        <f>IFERROR(INDEX(Spreads!C:C, MATCH('CME Data'!I217,Spreads!A:A,0)),"---")</f>
        <v>---</v>
      </c>
      <c r="K217" s="40">
        <f t="shared" si="15"/>
        <v>47938</v>
      </c>
    </row>
    <row r="218" spans="1:11" x14ac:dyDescent="0.2">
      <c r="A218" s="18" t="s">
        <v>302</v>
      </c>
      <c r="B218" s="2">
        <v>45231</v>
      </c>
      <c r="C218" s="2">
        <v>47968</v>
      </c>
      <c r="D218" s="2">
        <v>47969</v>
      </c>
      <c r="E218" s="37" t="s">
        <v>422</v>
      </c>
      <c r="F218" s="2">
        <f t="shared" si="13"/>
        <v>47968</v>
      </c>
      <c r="G218" t="str">
        <f t="shared" si="14"/>
        <v>BZ</v>
      </c>
      <c r="H218" s="35" t="str">
        <f t="shared" si="12"/>
        <v>NYMEX</v>
      </c>
      <c r="I218" t="str" cm="1">
        <f t="array" ref="I218">IFERROR(INDEX(Spreads!A:A,MATCH(1, (Spreads!E:E=G218)*(Spreads!C:C&gt;=F218), 0)),"---")</f>
        <v>---</v>
      </c>
      <c r="J218" s="40" t="str">
        <f>IFERROR(INDEX(Spreads!C:C, MATCH('CME Data'!I218,Spreads!A:A,0)),"---")</f>
        <v>---</v>
      </c>
      <c r="K218" s="40">
        <f t="shared" si="15"/>
        <v>47968</v>
      </c>
    </row>
    <row r="219" spans="1:11" x14ac:dyDescent="0.2">
      <c r="A219" s="18" t="s">
        <v>303</v>
      </c>
      <c r="B219" s="2">
        <v>45231</v>
      </c>
      <c r="C219" s="2">
        <v>47998</v>
      </c>
      <c r="D219" s="2">
        <v>48001</v>
      </c>
      <c r="E219" s="37" t="s">
        <v>422</v>
      </c>
      <c r="F219" s="2">
        <f t="shared" si="13"/>
        <v>47998</v>
      </c>
      <c r="G219" t="str">
        <f t="shared" si="14"/>
        <v>BZ</v>
      </c>
      <c r="H219" s="35" t="str">
        <f t="shared" si="12"/>
        <v>NYMEX</v>
      </c>
      <c r="I219" t="str" cm="1">
        <f t="array" ref="I219">IFERROR(INDEX(Spreads!A:A,MATCH(1, (Spreads!E:E=G219)*(Spreads!C:C&gt;=F219), 0)),"---")</f>
        <v>---</v>
      </c>
      <c r="J219" s="40" t="str">
        <f>IFERROR(INDEX(Spreads!C:C, MATCH('CME Data'!I219,Spreads!A:A,0)),"---")</f>
        <v>---</v>
      </c>
      <c r="K219" s="40">
        <f t="shared" si="15"/>
        <v>47998</v>
      </c>
    </row>
    <row r="220" spans="1:11" x14ac:dyDescent="0.2">
      <c r="A220" s="18" t="s">
        <v>304</v>
      </c>
      <c r="B220" s="2">
        <v>45231</v>
      </c>
      <c r="C220" s="2">
        <v>48029</v>
      </c>
      <c r="D220" s="2">
        <v>48030</v>
      </c>
      <c r="E220" s="37" t="s">
        <v>422</v>
      </c>
      <c r="F220" s="2">
        <f t="shared" si="13"/>
        <v>48029</v>
      </c>
      <c r="G220" t="str">
        <f t="shared" si="14"/>
        <v>BZ</v>
      </c>
      <c r="H220" s="35" t="str">
        <f t="shared" si="12"/>
        <v>NYMEX</v>
      </c>
      <c r="I220" t="str" cm="1">
        <f t="array" ref="I220">IFERROR(INDEX(Spreads!A:A,MATCH(1, (Spreads!E:E=G220)*(Spreads!C:C&gt;=F220), 0)),"---")</f>
        <v>---</v>
      </c>
      <c r="J220" s="40" t="str">
        <f>IFERROR(INDEX(Spreads!C:C, MATCH('CME Data'!I220,Spreads!A:A,0)),"---")</f>
        <v>---</v>
      </c>
      <c r="K220" s="40">
        <f t="shared" si="15"/>
        <v>48029</v>
      </c>
    </row>
    <row r="221" spans="1:11" x14ac:dyDescent="0.2">
      <c r="A221" s="18" t="s">
        <v>305</v>
      </c>
      <c r="B221" s="2">
        <v>45231</v>
      </c>
      <c r="C221" s="2">
        <v>48060</v>
      </c>
      <c r="D221" s="2">
        <v>48061</v>
      </c>
      <c r="E221" s="37" t="s">
        <v>422</v>
      </c>
      <c r="F221" s="2">
        <f t="shared" si="13"/>
        <v>48060</v>
      </c>
      <c r="G221" t="str">
        <f t="shared" si="14"/>
        <v>BZ</v>
      </c>
      <c r="H221" s="35" t="str">
        <f t="shared" si="12"/>
        <v>NYMEX</v>
      </c>
      <c r="I221" t="str" cm="1">
        <f t="array" ref="I221">IFERROR(INDEX(Spreads!A:A,MATCH(1, (Spreads!E:E=G221)*(Spreads!C:C&gt;=F221), 0)),"---")</f>
        <v>---</v>
      </c>
      <c r="J221" s="40" t="str">
        <f>IFERROR(INDEX(Spreads!C:C, MATCH('CME Data'!I221,Spreads!A:A,0)),"---")</f>
        <v>---</v>
      </c>
      <c r="K221" s="40">
        <f t="shared" si="15"/>
        <v>48060</v>
      </c>
    </row>
    <row r="222" spans="1:11" x14ac:dyDescent="0.2">
      <c r="A222" s="18" t="s">
        <v>306</v>
      </c>
      <c r="B222" s="2">
        <v>45231</v>
      </c>
      <c r="C222" s="2">
        <v>48089</v>
      </c>
      <c r="D222" s="2">
        <v>48093</v>
      </c>
      <c r="E222" s="37" t="s">
        <v>422</v>
      </c>
      <c r="F222" s="2">
        <f t="shared" si="13"/>
        <v>48089</v>
      </c>
      <c r="G222" t="str">
        <f t="shared" si="14"/>
        <v>BZ</v>
      </c>
      <c r="H222" s="35" t="str">
        <f t="shared" si="12"/>
        <v>NYMEX</v>
      </c>
      <c r="I222" t="str" cm="1">
        <f t="array" ref="I222">IFERROR(INDEX(Spreads!A:A,MATCH(1, (Spreads!E:E=G222)*(Spreads!C:C&gt;=F222), 0)),"---")</f>
        <v>---</v>
      </c>
      <c r="J222" s="40" t="str">
        <f>IFERROR(INDEX(Spreads!C:C, MATCH('CME Data'!I222,Spreads!A:A,0)),"---")</f>
        <v>---</v>
      </c>
      <c r="K222" s="40">
        <f t="shared" si="15"/>
        <v>48089</v>
      </c>
    </row>
    <row r="223" spans="1:11" x14ac:dyDescent="0.2">
      <c r="A223" s="18" t="s">
        <v>307</v>
      </c>
      <c r="B223" s="2">
        <v>45231</v>
      </c>
      <c r="C223" s="2">
        <v>48121</v>
      </c>
      <c r="D223" s="2">
        <v>48122</v>
      </c>
      <c r="E223" s="37" t="s">
        <v>422</v>
      </c>
      <c r="F223" s="2">
        <f t="shared" si="13"/>
        <v>48121</v>
      </c>
      <c r="G223" t="str">
        <f t="shared" si="14"/>
        <v>BZ</v>
      </c>
      <c r="H223" s="35" t="str">
        <f t="shared" si="12"/>
        <v>NYMEX</v>
      </c>
      <c r="I223" t="str" cm="1">
        <f t="array" ref="I223">IFERROR(INDEX(Spreads!A:A,MATCH(1, (Spreads!E:E=G223)*(Spreads!C:C&gt;=F223), 0)),"---")</f>
        <v>---</v>
      </c>
      <c r="J223" s="40" t="str">
        <f>IFERROR(INDEX(Spreads!C:C, MATCH('CME Data'!I223,Spreads!A:A,0)),"---")</f>
        <v>---</v>
      </c>
      <c r="K223" s="40">
        <f t="shared" si="15"/>
        <v>48121</v>
      </c>
    </row>
    <row r="224" spans="1:11" x14ac:dyDescent="0.2">
      <c r="A224" s="18" t="s">
        <v>308</v>
      </c>
      <c r="B224" s="2">
        <v>45231</v>
      </c>
      <c r="C224" s="2">
        <v>48152</v>
      </c>
      <c r="D224" s="2">
        <v>48155</v>
      </c>
      <c r="E224" s="37" t="s">
        <v>422</v>
      </c>
      <c r="F224" s="2">
        <f t="shared" si="13"/>
        <v>48152</v>
      </c>
      <c r="G224" t="str">
        <f t="shared" si="14"/>
        <v>BZ</v>
      </c>
      <c r="H224" s="35" t="str">
        <f t="shared" si="12"/>
        <v>NYMEX</v>
      </c>
      <c r="I224" t="str" cm="1">
        <f t="array" ref="I224">IFERROR(INDEX(Spreads!A:A,MATCH(1, (Spreads!E:E=G224)*(Spreads!C:C&gt;=F224), 0)),"---")</f>
        <v>---</v>
      </c>
      <c r="J224" s="40" t="str">
        <f>IFERROR(INDEX(Spreads!C:C, MATCH('CME Data'!I224,Spreads!A:A,0)),"---")</f>
        <v>---</v>
      </c>
      <c r="K224" s="40">
        <f t="shared" si="15"/>
        <v>48152</v>
      </c>
    </row>
    <row r="225" spans="1:11" x14ac:dyDescent="0.2">
      <c r="A225" s="18" t="s">
        <v>309</v>
      </c>
      <c r="B225" s="2">
        <v>45231</v>
      </c>
      <c r="C225" s="2">
        <v>48180</v>
      </c>
      <c r="D225" s="2">
        <v>48183</v>
      </c>
      <c r="E225" s="37" t="s">
        <v>422</v>
      </c>
      <c r="F225" s="2">
        <f t="shared" si="13"/>
        <v>48180</v>
      </c>
      <c r="G225" t="str">
        <f t="shared" si="14"/>
        <v>BZ</v>
      </c>
      <c r="H225" s="35" t="str">
        <f t="shared" si="12"/>
        <v>NYMEX</v>
      </c>
      <c r="I225" t="str" cm="1">
        <f t="array" ref="I225">IFERROR(INDEX(Spreads!A:A,MATCH(1, (Spreads!E:E=G225)*(Spreads!C:C&gt;=F225), 0)),"---")</f>
        <v>---</v>
      </c>
      <c r="J225" s="40" t="str">
        <f>IFERROR(INDEX(Spreads!C:C, MATCH('CME Data'!I225,Spreads!A:A,0)),"---")</f>
        <v>---</v>
      </c>
      <c r="K225" s="40">
        <f t="shared" si="15"/>
        <v>48180</v>
      </c>
    </row>
    <row r="226" spans="1:11" x14ac:dyDescent="0.2">
      <c r="A226" s="18" t="s">
        <v>310</v>
      </c>
      <c r="B226" s="2">
        <v>45231</v>
      </c>
      <c r="C226" s="2">
        <v>48212</v>
      </c>
      <c r="D226" s="2">
        <v>48213</v>
      </c>
      <c r="E226" s="37" t="s">
        <v>422</v>
      </c>
      <c r="F226" s="2">
        <f t="shared" si="13"/>
        <v>48212</v>
      </c>
      <c r="G226" t="str">
        <f t="shared" si="14"/>
        <v>BZ</v>
      </c>
      <c r="H226" s="35" t="str">
        <f t="shared" si="12"/>
        <v>NYMEX</v>
      </c>
      <c r="I226" t="str" cm="1">
        <f t="array" ref="I226">IFERROR(INDEX(Spreads!A:A,MATCH(1, (Spreads!E:E=G226)*(Spreads!C:C&gt;=F226), 0)),"---")</f>
        <v>---</v>
      </c>
      <c r="J226" s="40" t="str">
        <f>IFERROR(INDEX(Spreads!C:C, MATCH('CME Data'!I226,Spreads!A:A,0)),"---")</f>
        <v>---</v>
      </c>
      <c r="K226" s="40">
        <f t="shared" si="15"/>
        <v>48212</v>
      </c>
    </row>
    <row r="227" spans="1:11" x14ac:dyDescent="0.2">
      <c r="A227" s="18" t="s">
        <v>311</v>
      </c>
      <c r="B227" s="2">
        <v>45231</v>
      </c>
      <c r="C227" s="2">
        <v>48243</v>
      </c>
      <c r="D227" s="2">
        <v>48246</v>
      </c>
      <c r="E227" s="37" t="s">
        <v>422</v>
      </c>
      <c r="F227" s="2">
        <f t="shared" si="13"/>
        <v>48243</v>
      </c>
      <c r="G227" t="str">
        <f t="shared" si="14"/>
        <v>BZ</v>
      </c>
      <c r="H227" s="35" t="str">
        <f t="shared" si="12"/>
        <v>NYMEX</v>
      </c>
      <c r="I227" t="str" cm="1">
        <f t="array" ref="I227">IFERROR(INDEX(Spreads!A:A,MATCH(1, (Spreads!E:E=G227)*(Spreads!C:C&gt;=F227), 0)),"---")</f>
        <v>---</v>
      </c>
      <c r="J227" s="40" t="str">
        <f>IFERROR(INDEX(Spreads!C:C, MATCH('CME Data'!I227,Spreads!A:A,0)),"---")</f>
        <v>---</v>
      </c>
      <c r="K227" s="40">
        <f t="shared" si="15"/>
        <v>48243</v>
      </c>
    </row>
    <row r="228" spans="1:11" x14ac:dyDescent="0.2">
      <c r="A228" s="18" t="s">
        <v>312</v>
      </c>
      <c r="B228" s="2">
        <v>45597</v>
      </c>
      <c r="C228" s="2">
        <v>48271</v>
      </c>
      <c r="D228" s="2">
        <v>48274</v>
      </c>
      <c r="E228" s="37" t="s">
        <v>422</v>
      </c>
      <c r="F228" s="2">
        <f t="shared" si="13"/>
        <v>48271</v>
      </c>
      <c r="G228" t="str">
        <f t="shared" si="14"/>
        <v>BZ</v>
      </c>
      <c r="H228" s="35" t="str">
        <f t="shared" si="12"/>
        <v>NYMEX</v>
      </c>
      <c r="I228" t="str" cm="1">
        <f t="array" ref="I228">IFERROR(INDEX(Spreads!A:A,MATCH(1, (Spreads!E:E=G228)*(Spreads!C:C&gt;=F228), 0)),"---")</f>
        <v>---</v>
      </c>
      <c r="J228" s="40" t="str">
        <f>IFERROR(INDEX(Spreads!C:C, MATCH('CME Data'!I228,Spreads!A:A,0)),"---")</f>
        <v>---</v>
      </c>
      <c r="K228" s="40">
        <f t="shared" si="15"/>
        <v>48271</v>
      </c>
    </row>
    <row r="229" spans="1:11" x14ac:dyDescent="0.2">
      <c r="A229" s="18" t="s">
        <v>313</v>
      </c>
      <c r="B229" s="2">
        <v>45597</v>
      </c>
      <c r="C229" s="2">
        <v>48304</v>
      </c>
      <c r="D229" s="2">
        <v>48305</v>
      </c>
      <c r="E229" s="37" t="s">
        <v>422</v>
      </c>
      <c r="F229" s="2">
        <f t="shared" si="13"/>
        <v>48304</v>
      </c>
      <c r="G229" t="str">
        <f t="shared" si="14"/>
        <v>BZ</v>
      </c>
      <c r="H229" s="35" t="str">
        <f t="shared" si="12"/>
        <v>NYMEX</v>
      </c>
      <c r="I229" t="str" cm="1">
        <f t="array" ref="I229">IFERROR(INDEX(Spreads!A:A,MATCH(1, (Spreads!E:E=G229)*(Spreads!C:C&gt;=F229), 0)),"---")</f>
        <v>---</v>
      </c>
      <c r="J229" s="40" t="str">
        <f>IFERROR(INDEX(Spreads!C:C, MATCH('CME Data'!I229,Spreads!A:A,0)),"---")</f>
        <v>---</v>
      </c>
      <c r="K229" s="40">
        <f t="shared" si="15"/>
        <v>48304</v>
      </c>
    </row>
    <row r="230" spans="1:11" x14ac:dyDescent="0.2">
      <c r="A230" s="18" t="s">
        <v>314</v>
      </c>
      <c r="B230" s="2">
        <v>45597</v>
      </c>
      <c r="C230" s="2">
        <v>48334</v>
      </c>
      <c r="D230" s="2">
        <v>48337</v>
      </c>
      <c r="E230" s="37" t="s">
        <v>422</v>
      </c>
      <c r="F230" s="2">
        <f t="shared" si="13"/>
        <v>48334</v>
      </c>
      <c r="G230" t="str">
        <f t="shared" si="14"/>
        <v>BZ</v>
      </c>
      <c r="H230" s="35" t="str">
        <f t="shared" si="12"/>
        <v>NYMEX</v>
      </c>
      <c r="I230" t="str" cm="1">
        <f t="array" ref="I230">IFERROR(INDEX(Spreads!A:A,MATCH(1, (Spreads!E:E=G230)*(Spreads!C:C&gt;=F230), 0)),"---")</f>
        <v>---</v>
      </c>
      <c r="J230" s="40" t="str">
        <f>IFERROR(INDEX(Spreads!C:C, MATCH('CME Data'!I230,Spreads!A:A,0)),"---")</f>
        <v>---</v>
      </c>
      <c r="K230" s="40">
        <f t="shared" si="15"/>
        <v>48334</v>
      </c>
    </row>
    <row r="231" spans="1:11" x14ac:dyDescent="0.2">
      <c r="A231" s="18" t="s">
        <v>315</v>
      </c>
      <c r="B231" s="2">
        <v>45597</v>
      </c>
      <c r="C231" s="2">
        <v>48362</v>
      </c>
      <c r="D231" s="2">
        <v>48366</v>
      </c>
      <c r="E231" s="37" t="s">
        <v>422</v>
      </c>
      <c r="F231" s="2">
        <f t="shared" si="13"/>
        <v>48362</v>
      </c>
      <c r="G231" t="str">
        <f t="shared" si="14"/>
        <v>BZ</v>
      </c>
      <c r="H231" s="35" t="str">
        <f t="shared" si="12"/>
        <v>NYMEX</v>
      </c>
      <c r="I231" t="str" cm="1">
        <f t="array" ref="I231">IFERROR(INDEX(Spreads!A:A,MATCH(1, (Spreads!E:E=G231)*(Spreads!C:C&gt;=F231), 0)),"---")</f>
        <v>---</v>
      </c>
      <c r="J231" s="40" t="str">
        <f>IFERROR(INDEX(Spreads!C:C, MATCH('CME Data'!I231,Spreads!A:A,0)),"---")</f>
        <v>---</v>
      </c>
      <c r="K231" s="40">
        <f t="shared" si="15"/>
        <v>48362</v>
      </c>
    </row>
    <row r="232" spans="1:11" x14ac:dyDescent="0.2">
      <c r="A232" s="18" t="s">
        <v>316</v>
      </c>
      <c r="B232" s="2">
        <v>45597</v>
      </c>
      <c r="C232" s="2">
        <v>48395</v>
      </c>
      <c r="D232" s="2">
        <v>48396</v>
      </c>
      <c r="E232" s="37" t="s">
        <v>422</v>
      </c>
      <c r="F232" s="2">
        <f t="shared" si="13"/>
        <v>48395</v>
      </c>
      <c r="G232" t="str">
        <f t="shared" si="14"/>
        <v>BZ</v>
      </c>
      <c r="H232" s="35" t="str">
        <f t="shared" si="12"/>
        <v>NYMEX</v>
      </c>
      <c r="I232" t="str" cm="1">
        <f t="array" ref="I232">IFERROR(INDEX(Spreads!A:A,MATCH(1, (Spreads!E:E=G232)*(Spreads!C:C&gt;=F232), 0)),"---")</f>
        <v>---</v>
      </c>
      <c r="J232" s="40" t="str">
        <f>IFERROR(INDEX(Spreads!C:C, MATCH('CME Data'!I232,Spreads!A:A,0)),"---")</f>
        <v>---</v>
      </c>
      <c r="K232" s="40">
        <f t="shared" si="15"/>
        <v>48395</v>
      </c>
    </row>
    <row r="233" spans="1:11" x14ac:dyDescent="0.2">
      <c r="A233" s="18" t="s">
        <v>317</v>
      </c>
      <c r="B233" s="2">
        <v>45597</v>
      </c>
      <c r="C233" s="2">
        <v>48425</v>
      </c>
      <c r="D233" s="2">
        <v>48428</v>
      </c>
      <c r="E233" s="37" t="s">
        <v>422</v>
      </c>
      <c r="F233" s="2">
        <f t="shared" si="13"/>
        <v>48425</v>
      </c>
      <c r="G233" t="str">
        <f t="shared" si="14"/>
        <v>BZ</v>
      </c>
      <c r="H233" s="35" t="str">
        <f t="shared" si="12"/>
        <v>NYMEX</v>
      </c>
      <c r="I233" t="str" cm="1">
        <f t="array" ref="I233">IFERROR(INDEX(Spreads!A:A,MATCH(1, (Spreads!E:E=G233)*(Spreads!C:C&gt;=F233), 0)),"---")</f>
        <v>---</v>
      </c>
      <c r="J233" s="40" t="str">
        <f>IFERROR(INDEX(Spreads!C:C, MATCH('CME Data'!I233,Spreads!A:A,0)),"---")</f>
        <v>---</v>
      </c>
      <c r="K233" s="40">
        <f t="shared" si="15"/>
        <v>48425</v>
      </c>
    </row>
    <row r="234" spans="1:11" x14ac:dyDescent="0.2">
      <c r="A234" s="18" t="s">
        <v>318</v>
      </c>
      <c r="B234" s="2">
        <v>45597</v>
      </c>
      <c r="C234" s="2">
        <v>48457</v>
      </c>
      <c r="D234" s="2">
        <v>48458</v>
      </c>
      <c r="E234" s="37" t="s">
        <v>422</v>
      </c>
      <c r="F234" s="2">
        <f t="shared" si="13"/>
        <v>48457</v>
      </c>
      <c r="G234" t="str">
        <f t="shared" si="14"/>
        <v>BZ</v>
      </c>
      <c r="H234" s="35" t="str">
        <f t="shared" si="12"/>
        <v>NYMEX</v>
      </c>
      <c r="I234" t="str" cm="1">
        <f t="array" ref="I234">IFERROR(INDEX(Spreads!A:A,MATCH(1, (Spreads!E:E=G234)*(Spreads!C:C&gt;=F234), 0)),"---")</f>
        <v>---</v>
      </c>
      <c r="J234" s="40" t="str">
        <f>IFERROR(INDEX(Spreads!C:C, MATCH('CME Data'!I234,Spreads!A:A,0)),"---")</f>
        <v>---</v>
      </c>
      <c r="K234" s="40">
        <f t="shared" si="15"/>
        <v>48457</v>
      </c>
    </row>
    <row r="235" spans="1:11" x14ac:dyDescent="0.2">
      <c r="A235" s="18" t="s">
        <v>319</v>
      </c>
      <c r="B235" s="2">
        <v>45597</v>
      </c>
      <c r="C235" s="2">
        <v>48487</v>
      </c>
      <c r="D235" s="2">
        <v>48488</v>
      </c>
      <c r="E235" s="37" t="s">
        <v>422</v>
      </c>
      <c r="F235" s="2">
        <f t="shared" si="13"/>
        <v>48487</v>
      </c>
      <c r="G235" t="str">
        <f t="shared" si="14"/>
        <v>BZ</v>
      </c>
      <c r="H235" s="35" t="str">
        <f t="shared" si="12"/>
        <v>NYMEX</v>
      </c>
      <c r="I235" t="str" cm="1">
        <f t="array" ref="I235">IFERROR(INDEX(Spreads!A:A,MATCH(1, (Spreads!E:E=G235)*(Spreads!C:C&gt;=F235), 0)),"---")</f>
        <v>---</v>
      </c>
      <c r="J235" s="40" t="str">
        <f>IFERROR(INDEX(Spreads!C:C, MATCH('CME Data'!I235,Spreads!A:A,0)),"---")</f>
        <v>---</v>
      </c>
      <c r="K235" s="40">
        <f t="shared" si="15"/>
        <v>48487</v>
      </c>
    </row>
    <row r="236" spans="1:11" x14ac:dyDescent="0.2">
      <c r="A236" s="18" t="s">
        <v>320</v>
      </c>
      <c r="B236" s="2">
        <v>45597</v>
      </c>
      <c r="C236" s="2">
        <v>48516</v>
      </c>
      <c r="D236" s="2">
        <v>48519</v>
      </c>
      <c r="E236" s="37" t="s">
        <v>422</v>
      </c>
      <c r="F236" s="2">
        <f t="shared" si="13"/>
        <v>48516</v>
      </c>
      <c r="G236" t="str">
        <f t="shared" si="14"/>
        <v>BZ</v>
      </c>
      <c r="H236" s="35" t="str">
        <f t="shared" si="12"/>
        <v>NYMEX</v>
      </c>
      <c r="I236" t="str" cm="1">
        <f t="array" ref="I236">IFERROR(INDEX(Spreads!A:A,MATCH(1, (Spreads!E:E=G236)*(Spreads!C:C&gt;=F236), 0)),"---")</f>
        <v>---</v>
      </c>
      <c r="J236" s="40" t="str">
        <f>IFERROR(INDEX(Spreads!C:C, MATCH('CME Data'!I236,Spreads!A:A,0)),"---")</f>
        <v>---</v>
      </c>
      <c r="K236" s="40">
        <f t="shared" si="15"/>
        <v>48516</v>
      </c>
    </row>
    <row r="237" spans="1:11" x14ac:dyDescent="0.2">
      <c r="A237" s="18" t="s">
        <v>321</v>
      </c>
      <c r="B237" s="2">
        <v>45597</v>
      </c>
      <c r="C237" s="2">
        <v>48548</v>
      </c>
      <c r="D237" s="2">
        <v>48549</v>
      </c>
      <c r="E237" s="37" t="s">
        <v>422</v>
      </c>
      <c r="F237" s="2">
        <f t="shared" si="13"/>
        <v>48548</v>
      </c>
      <c r="G237" t="str">
        <f t="shared" si="14"/>
        <v>BZ</v>
      </c>
      <c r="H237" s="35" t="str">
        <f t="shared" si="12"/>
        <v>NYMEX</v>
      </c>
      <c r="I237" t="str" cm="1">
        <f t="array" ref="I237">IFERROR(INDEX(Spreads!A:A,MATCH(1, (Spreads!E:E=G237)*(Spreads!C:C&gt;=F237), 0)),"---")</f>
        <v>---</v>
      </c>
      <c r="J237" s="40" t="str">
        <f>IFERROR(INDEX(Spreads!C:C, MATCH('CME Data'!I237,Spreads!A:A,0)),"---")</f>
        <v>---</v>
      </c>
      <c r="K237" s="40">
        <f t="shared" si="15"/>
        <v>48548</v>
      </c>
    </row>
    <row r="238" spans="1:11" x14ac:dyDescent="0.2">
      <c r="A238" s="18" t="s">
        <v>322</v>
      </c>
      <c r="B238" s="2">
        <v>45597</v>
      </c>
      <c r="C238" s="2">
        <v>48578</v>
      </c>
      <c r="D238" s="2">
        <v>48579</v>
      </c>
      <c r="E238" s="37" t="s">
        <v>422</v>
      </c>
      <c r="F238" s="2">
        <f t="shared" si="13"/>
        <v>48578</v>
      </c>
      <c r="G238" t="str">
        <f t="shared" si="14"/>
        <v>BZ</v>
      </c>
      <c r="H238" s="35" t="str">
        <f t="shared" si="12"/>
        <v>NYMEX</v>
      </c>
      <c r="I238" t="str" cm="1">
        <f t="array" ref="I238">IFERROR(INDEX(Spreads!A:A,MATCH(1, (Spreads!E:E=G238)*(Spreads!C:C&gt;=F238), 0)),"---")</f>
        <v>---</v>
      </c>
      <c r="J238" s="40" t="str">
        <f>IFERROR(INDEX(Spreads!C:C, MATCH('CME Data'!I238,Spreads!A:A,0)),"---")</f>
        <v>---</v>
      </c>
      <c r="K238" s="40">
        <f t="shared" si="15"/>
        <v>48578</v>
      </c>
    </row>
    <row r="239" spans="1:11" x14ac:dyDescent="0.2">
      <c r="A239" s="18" t="s">
        <v>323</v>
      </c>
      <c r="B239" s="2">
        <v>45597</v>
      </c>
      <c r="C239" s="2">
        <v>48610</v>
      </c>
      <c r="D239" s="2">
        <v>48611</v>
      </c>
      <c r="E239" s="37" t="s">
        <v>422</v>
      </c>
      <c r="F239" s="2">
        <f t="shared" si="13"/>
        <v>48610</v>
      </c>
      <c r="G239" t="str">
        <f t="shared" si="14"/>
        <v>BZ</v>
      </c>
      <c r="H239" s="35" t="str">
        <f t="shared" si="12"/>
        <v>NYMEX</v>
      </c>
      <c r="I239" t="str" cm="1">
        <f t="array" ref="I239">IFERROR(INDEX(Spreads!A:A,MATCH(1, (Spreads!E:E=G239)*(Spreads!C:C&gt;=F239), 0)),"---")</f>
        <v>---</v>
      </c>
      <c r="J239" s="40" t="str">
        <f>IFERROR(INDEX(Spreads!C:C, MATCH('CME Data'!I239,Spreads!A:A,0)),"---")</f>
        <v>---</v>
      </c>
      <c r="K239" s="40">
        <f t="shared" si="15"/>
        <v>48610</v>
      </c>
    </row>
    <row r="240" spans="1:11" x14ac:dyDescent="0.2">
      <c r="A240" s="18" t="s">
        <v>324</v>
      </c>
      <c r="B240" s="2">
        <v>45964</v>
      </c>
      <c r="C240" s="2">
        <v>48638</v>
      </c>
      <c r="D240" s="2">
        <v>48639</v>
      </c>
      <c r="E240" s="37" t="s">
        <v>422</v>
      </c>
      <c r="F240" s="2">
        <f t="shared" si="13"/>
        <v>48638</v>
      </c>
      <c r="G240" t="str">
        <f t="shared" si="14"/>
        <v>BZ</v>
      </c>
      <c r="H240" s="35" t="str">
        <f t="shared" si="12"/>
        <v>NYMEX</v>
      </c>
      <c r="I240" t="str" cm="1">
        <f t="array" ref="I240">IFERROR(INDEX(Spreads!A:A,MATCH(1, (Spreads!E:E=G240)*(Spreads!C:C&gt;=F240), 0)),"---")</f>
        <v>---</v>
      </c>
      <c r="J240" s="40" t="str">
        <f>IFERROR(INDEX(Spreads!C:C, MATCH('CME Data'!I240,Spreads!A:A,0)),"---")</f>
        <v>---</v>
      </c>
      <c r="K240" s="40">
        <f t="shared" si="15"/>
        <v>48638</v>
      </c>
    </row>
    <row r="241" spans="1:11" x14ac:dyDescent="0.2">
      <c r="A241" s="18" t="s">
        <v>325</v>
      </c>
      <c r="B241" s="2">
        <v>45964</v>
      </c>
      <c r="C241" s="2">
        <v>48669</v>
      </c>
      <c r="D241" s="2">
        <v>48670</v>
      </c>
      <c r="E241" s="37" t="s">
        <v>422</v>
      </c>
      <c r="F241" s="2">
        <f t="shared" si="13"/>
        <v>48669</v>
      </c>
      <c r="G241" t="str">
        <f t="shared" si="14"/>
        <v>BZ</v>
      </c>
      <c r="H241" s="35" t="str">
        <f t="shared" si="12"/>
        <v>NYMEX</v>
      </c>
      <c r="I241" t="str" cm="1">
        <f t="array" ref="I241">IFERROR(INDEX(Spreads!A:A,MATCH(1, (Spreads!E:E=G241)*(Spreads!C:C&gt;=F241), 0)),"---")</f>
        <v>---</v>
      </c>
      <c r="J241" s="40" t="str">
        <f>IFERROR(INDEX(Spreads!C:C, MATCH('CME Data'!I241,Spreads!A:A,0)),"---")</f>
        <v>---</v>
      </c>
      <c r="K241" s="40">
        <f t="shared" si="15"/>
        <v>48669</v>
      </c>
    </row>
    <row r="242" spans="1:11" x14ac:dyDescent="0.2">
      <c r="A242" s="18" t="s">
        <v>326</v>
      </c>
      <c r="B242" s="2">
        <v>45964</v>
      </c>
      <c r="C242" s="2">
        <v>48698</v>
      </c>
      <c r="D242" s="2">
        <v>48701</v>
      </c>
      <c r="E242" s="37" t="s">
        <v>422</v>
      </c>
      <c r="F242" s="2">
        <f t="shared" si="13"/>
        <v>48698</v>
      </c>
      <c r="G242" t="str">
        <f t="shared" si="14"/>
        <v>BZ</v>
      </c>
      <c r="H242" s="35" t="str">
        <f t="shared" si="12"/>
        <v>NYMEX</v>
      </c>
      <c r="I242" t="str" cm="1">
        <f t="array" ref="I242">IFERROR(INDEX(Spreads!A:A,MATCH(1, (Spreads!E:E=G242)*(Spreads!C:C&gt;=F242), 0)),"---")</f>
        <v>---</v>
      </c>
      <c r="J242" s="40" t="str">
        <f>IFERROR(INDEX(Spreads!C:C, MATCH('CME Data'!I242,Spreads!A:A,0)),"---")</f>
        <v>---</v>
      </c>
      <c r="K242" s="40">
        <f t="shared" si="15"/>
        <v>48698</v>
      </c>
    </row>
    <row r="243" spans="1:11" x14ac:dyDescent="0.2">
      <c r="A243" s="18" t="s">
        <v>327</v>
      </c>
      <c r="B243" s="2">
        <v>45964</v>
      </c>
      <c r="C243" s="2">
        <v>48730</v>
      </c>
      <c r="D243" s="2">
        <v>48731</v>
      </c>
      <c r="E243" s="37" t="s">
        <v>422</v>
      </c>
      <c r="F243" s="2">
        <f t="shared" si="13"/>
        <v>48730</v>
      </c>
      <c r="G243" t="str">
        <f t="shared" si="14"/>
        <v>BZ</v>
      </c>
      <c r="H243" s="35" t="str">
        <f t="shared" si="12"/>
        <v>NYMEX</v>
      </c>
      <c r="I243" t="str" cm="1">
        <f t="array" ref="I243">IFERROR(INDEX(Spreads!A:A,MATCH(1, (Spreads!E:E=G243)*(Spreads!C:C&gt;=F243), 0)),"---")</f>
        <v>---</v>
      </c>
      <c r="J243" s="40" t="str">
        <f>IFERROR(INDEX(Spreads!C:C, MATCH('CME Data'!I243,Spreads!A:A,0)),"---")</f>
        <v>---</v>
      </c>
      <c r="K243" s="40">
        <f t="shared" si="15"/>
        <v>48730</v>
      </c>
    </row>
    <row r="244" spans="1:11" x14ac:dyDescent="0.2">
      <c r="A244" s="18" t="s">
        <v>328</v>
      </c>
      <c r="B244" s="2">
        <v>45964</v>
      </c>
      <c r="C244" s="2">
        <v>48760</v>
      </c>
      <c r="D244" s="2">
        <v>48761</v>
      </c>
      <c r="E244" s="37" t="s">
        <v>422</v>
      </c>
      <c r="F244" s="2">
        <f t="shared" si="13"/>
        <v>48760</v>
      </c>
      <c r="G244" t="str">
        <f t="shared" si="14"/>
        <v>BZ</v>
      </c>
      <c r="H244" s="35" t="str">
        <f t="shared" si="12"/>
        <v>NYMEX</v>
      </c>
      <c r="I244" t="str" cm="1">
        <f t="array" ref="I244">IFERROR(INDEX(Spreads!A:A,MATCH(1, (Spreads!E:E=G244)*(Spreads!C:C&gt;=F244), 0)),"---")</f>
        <v>---</v>
      </c>
      <c r="J244" s="40" t="str">
        <f>IFERROR(INDEX(Spreads!C:C, MATCH('CME Data'!I244,Spreads!A:A,0)),"---")</f>
        <v>---</v>
      </c>
      <c r="K244" s="40">
        <f t="shared" si="15"/>
        <v>48760</v>
      </c>
    </row>
    <row r="245" spans="1:11" x14ac:dyDescent="0.2">
      <c r="A245" s="18" t="s">
        <v>329</v>
      </c>
      <c r="B245" s="2">
        <v>45964</v>
      </c>
      <c r="C245" s="2">
        <v>48789</v>
      </c>
      <c r="D245" s="2">
        <v>48792</v>
      </c>
      <c r="E245" s="37" t="s">
        <v>422</v>
      </c>
      <c r="F245" s="2">
        <f t="shared" si="13"/>
        <v>48789</v>
      </c>
      <c r="G245" t="str">
        <f t="shared" si="14"/>
        <v>BZ</v>
      </c>
      <c r="H245" s="35" t="str">
        <f t="shared" si="12"/>
        <v>NYMEX</v>
      </c>
      <c r="I245" t="str" cm="1">
        <f t="array" ref="I245">IFERROR(INDEX(Spreads!A:A,MATCH(1, (Spreads!E:E=G245)*(Spreads!C:C&gt;=F245), 0)),"---")</f>
        <v>---</v>
      </c>
      <c r="J245" s="40" t="str">
        <f>IFERROR(INDEX(Spreads!C:C, MATCH('CME Data'!I245,Spreads!A:A,0)),"---")</f>
        <v>---</v>
      </c>
      <c r="K245" s="40">
        <f t="shared" si="15"/>
        <v>48789</v>
      </c>
    </row>
    <row r="246" spans="1:11" x14ac:dyDescent="0.2">
      <c r="A246" s="18" t="s">
        <v>330</v>
      </c>
      <c r="B246" s="2">
        <v>45964</v>
      </c>
      <c r="C246" s="2">
        <v>48822</v>
      </c>
      <c r="D246" s="2">
        <v>48823</v>
      </c>
      <c r="E246" s="37" t="s">
        <v>422</v>
      </c>
      <c r="F246" s="2">
        <f t="shared" si="13"/>
        <v>48822</v>
      </c>
      <c r="G246" t="str">
        <f t="shared" si="14"/>
        <v>BZ</v>
      </c>
      <c r="H246" s="35" t="str">
        <f t="shared" si="12"/>
        <v>NYMEX</v>
      </c>
      <c r="I246" t="str" cm="1">
        <f t="array" ref="I246">IFERROR(INDEX(Spreads!A:A,MATCH(1, (Spreads!E:E=G246)*(Spreads!C:C&gt;=F246), 0)),"---")</f>
        <v>---</v>
      </c>
      <c r="J246" s="40" t="str">
        <f>IFERROR(INDEX(Spreads!C:C, MATCH('CME Data'!I246,Spreads!A:A,0)),"---")</f>
        <v>---</v>
      </c>
      <c r="K246" s="40">
        <f t="shared" si="15"/>
        <v>48822</v>
      </c>
    </row>
    <row r="247" spans="1:11" x14ac:dyDescent="0.2">
      <c r="A247" s="18" t="s">
        <v>331</v>
      </c>
      <c r="B247" s="2">
        <v>45964</v>
      </c>
      <c r="C247" s="2">
        <v>48852</v>
      </c>
      <c r="D247" s="2">
        <v>48855</v>
      </c>
      <c r="E247" s="37" t="s">
        <v>422</v>
      </c>
      <c r="F247" s="2">
        <f t="shared" si="13"/>
        <v>48852</v>
      </c>
      <c r="G247" t="str">
        <f t="shared" si="14"/>
        <v>BZ</v>
      </c>
      <c r="H247" s="35" t="str">
        <f t="shared" si="12"/>
        <v>NYMEX</v>
      </c>
      <c r="I247" t="str" cm="1">
        <f t="array" ref="I247">IFERROR(INDEX(Spreads!A:A,MATCH(1, (Spreads!E:E=G247)*(Spreads!C:C&gt;=F247), 0)),"---")</f>
        <v>---</v>
      </c>
      <c r="J247" s="40" t="str">
        <f>IFERROR(INDEX(Spreads!C:C, MATCH('CME Data'!I247,Spreads!A:A,0)),"---")</f>
        <v>---</v>
      </c>
      <c r="K247" s="40">
        <f t="shared" si="15"/>
        <v>48852</v>
      </c>
    </row>
    <row r="248" spans="1:11" x14ac:dyDescent="0.2">
      <c r="A248" s="18" t="s">
        <v>332</v>
      </c>
      <c r="B248" s="2">
        <v>45964</v>
      </c>
      <c r="C248" s="2">
        <v>48883</v>
      </c>
      <c r="D248" s="2">
        <v>48884</v>
      </c>
      <c r="E248" s="37" t="s">
        <v>422</v>
      </c>
      <c r="F248" s="2">
        <f t="shared" si="13"/>
        <v>48883</v>
      </c>
      <c r="G248" t="str">
        <f t="shared" si="14"/>
        <v>BZ</v>
      </c>
      <c r="H248" s="35" t="str">
        <f t="shared" si="12"/>
        <v>NYMEX</v>
      </c>
      <c r="I248" t="str" cm="1">
        <f t="array" ref="I248">IFERROR(INDEX(Spreads!A:A,MATCH(1, (Spreads!E:E=G248)*(Spreads!C:C&gt;=F248), 0)),"---")</f>
        <v>---</v>
      </c>
      <c r="J248" s="40" t="str">
        <f>IFERROR(INDEX(Spreads!C:C, MATCH('CME Data'!I248,Spreads!A:A,0)),"---")</f>
        <v>---</v>
      </c>
      <c r="K248" s="40">
        <f t="shared" si="15"/>
        <v>48883</v>
      </c>
    </row>
    <row r="249" spans="1:11" x14ac:dyDescent="0.2">
      <c r="A249" s="18" t="s">
        <v>333</v>
      </c>
      <c r="B249" s="2">
        <v>45964</v>
      </c>
      <c r="C249" s="2">
        <v>48913</v>
      </c>
      <c r="D249" s="2">
        <v>48914</v>
      </c>
      <c r="E249" s="37" t="s">
        <v>422</v>
      </c>
      <c r="F249" s="2">
        <f t="shared" si="13"/>
        <v>48913</v>
      </c>
      <c r="G249" t="str">
        <f t="shared" si="14"/>
        <v>BZ</v>
      </c>
      <c r="H249" s="35" t="str">
        <f t="shared" si="12"/>
        <v>NYMEX</v>
      </c>
      <c r="I249" t="str" cm="1">
        <f t="array" ref="I249">IFERROR(INDEX(Spreads!A:A,MATCH(1, (Spreads!E:E=G249)*(Spreads!C:C&gt;=F249), 0)),"---")</f>
        <v>---</v>
      </c>
      <c r="J249" s="40" t="str">
        <f>IFERROR(INDEX(Spreads!C:C, MATCH('CME Data'!I249,Spreads!A:A,0)),"---")</f>
        <v>---</v>
      </c>
      <c r="K249" s="40">
        <f t="shared" si="15"/>
        <v>48913</v>
      </c>
    </row>
    <row r="250" spans="1:11" x14ac:dyDescent="0.2">
      <c r="A250" s="18" t="s">
        <v>334</v>
      </c>
      <c r="B250" s="2">
        <v>45964</v>
      </c>
      <c r="C250" s="2">
        <v>48942</v>
      </c>
      <c r="D250" s="2">
        <v>48943</v>
      </c>
      <c r="E250" s="37" t="s">
        <v>422</v>
      </c>
      <c r="F250" s="2">
        <f t="shared" si="13"/>
        <v>48942</v>
      </c>
      <c r="G250" t="str">
        <f t="shared" si="14"/>
        <v>BZ</v>
      </c>
      <c r="H250" s="35" t="str">
        <f t="shared" si="12"/>
        <v>NYMEX</v>
      </c>
      <c r="I250" t="str" cm="1">
        <f t="array" ref="I250">IFERROR(INDEX(Spreads!A:A,MATCH(1, (Spreads!E:E=G250)*(Spreads!C:C&gt;=F250), 0)),"---")</f>
        <v>---</v>
      </c>
      <c r="J250" s="40" t="str">
        <f>IFERROR(INDEX(Spreads!C:C, MATCH('CME Data'!I250,Spreads!A:A,0)),"---")</f>
        <v>---</v>
      </c>
      <c r="K250" s="40">
        <f t="shared" si="15"/>
        <v>48942</v>
      </c>
    </row>
    <row r="251" spans="1:11" x14ac:dyDescent="0.2">
      <c r="A251" s="18" t="s">
        <v>335</v>
      </c>
      <c r="B251" s="2">
        <v>45964</v>
      </c>
      <c r="C251" s="2">
        <v>48975</v>
      </c>
      <c r="D251" s="2">
        <v>48976</v>
      </c>
      <c r="E251" s="37" t="s">
        <v>422</v>
      </c>
      <c r="F251" s="2">
        <f t="shared" si="13"/>
        <v>48975</v>
      </c>
      <c r="G251" t="str">
        <f t="shared" si="14"/>
        <v>BZ</v>
      </c>
      <c r="H251" s="35" t="str">
        <f t="shared" si="12"/>
        <v>NYMEX</v>
      </c>
      <c r="I251" t="str" cm="1">
        <f t="array" ref="I251">IFERROR(INDEX(Spreads!A:A,MATCH(1, (Spreads!E:E=G251)*(Spreads!C:C&gt;=F251), 0)),"---")</f>
        <v>---</v>
      </c>
      <c r="J251" s="40" t="str">
        <f>IFERROR(INDEX(Spreads!C:C, MATCH('CME Data'!I251,Spreads!A:A,0)),"---")</f>
        <v>---</v>
      </c>
      <c r="K251" s="40">
        <f t="shared" si="15"/>
        <v>48975</v>
      </c>
    </row>
    <row r="252" spans="1:11" x14ac:dyDescent="0.2">
      <c r="A252" s="18" t="s">
        <v>341</v>
      </c>
      <c r="B252" s="2">
        <v>45698</v>
      </c>
      <c r="C252" s="2">
        <v>46108</v>
      </c>
      <c r="D252" s="2">
        <v>46108</v>
      </c>
      <c r="E252" s="22">
        <v>46080</v>
      </c>
      <c r="F252" s="2">
        <f t="shared" si="13"/>
        <v>46080</v>
      </c>
      <c r="G252" t="str">
        <f t="shared" si="14"/>
        <v>GC</v>
      </c>
      <c r="H252" s="35" t="str">
        <f t="shared" si="12"/>
        <v>COMEX</v>
      </c>
      <c r="I252" t="str" cm="1">
        <f t="array" ref="I252">IFERROR(INDEX(Spreads!A:A,MATCH(1, (Spreads!E:E=G252)*(Spreads!C:C&gt;=F252), 0)),"---")</f>
        <v>GOLD-3.26</v>
      </c>
      <c r="J252" s="40">
        <f>IFERROR(INDEX(Spreads!C:C, MATCH('CME Data'!I252,Spreads!A:A,0)),"---")</f>
        <v>46101</v>
      </c>
      <c r="K252" s="40">
        <f t="shared" si="15"/>
        <v>46080</v>
      </c>
    </row>
    <row r="253" spans="1:11" x14ac:dyDescent="0.2">
      <c r="A253" s="18" t="s">
        <v>342</v>
      </c>
      <c r="B253" s="2">
        <v>45443</v>
      </c>
      <c r="C253" s="2">
        <v>46140</v>
      </c>
      <c r="D253" s="2">
        <v>46140</v>
      </c>
      <c r="E253" s="22">
        <v>46112</v>
      </c>
      <c r="F253" s="2">
        <f t="shared" si="13"/>
        <v>46112</v>
      </c>
      <c r="G253" t="str">
        <f t="shared" si="14"/>
        <v>GC</v>
      </c>
      <c r="H253" s="35" t="str">
        <f t="shared" si="12"/>
        <v>COMEX</v>
      </c>
      <c r="I253" t="str" cm="1">
        <f t="array" ref="I253">IFERROR(INDEX(Spreads!A:A,MATCH(1, (Spreads!E:E=G253)*(Spreads!C:C&gt;=F253), 0)),"---")</f>
        <v>GOLD-6.26</v>
      </c>
      <c r="J253" s="40">
        <f>IFERROR(INDEX(Spreads!C:C, MATCH('CME Data'!I253,Spreads!A:A,0)),"---")</f>
        <v>46192</v>
      </c>
      <c r="K253" s="40">
        <f t="shared" si="15"/>
        <v>46112</v>
      </c>
    </row>
    <row r="254" spans="1:11" x14ac:dyDescent="0.2">
      <c r="A254" s="18" t="s">
        <v>343</v>
      </c>
      <c r="B254" s="2">
        <v>45698</v>
      </c>
      <c r="C254" s="2">
        <v>46169</v>
      </c>
      <c r="D254" s="2">
        <v>46169</v>
      </c>
      <c r="E254" s="22">
        <v>46142</v>
      </c>
      <c r="F254" s="2">
        <f t="shared" si="13"/>
        <v>46142</v>
      </c>
      <c r="G254" t="str">
        <f t="shared" si="14"/>
        <v>GC</v>
      </c>
      <c r="H254" s="35" t="str">
        <f t="shared" si="12"/>
        <v>COMEX</v>
      </c>
      <c r="I254" t="str" cm="1">
        <f t="array" ref="I254">IFERROR(INDEX(Spreads!A:A,MATCH(1, (Spreads!E:E=G254)*(Spreads!C:C&gt;=F254), 0)),"---")</f>
        <v>GOLD-6.26</v>
      </c>
      <c r="J254" s="40">
        <f>IFERROR(INDEX(Spreads!C:C, MATCH('CME Data'!I254,Spreads!A:A,0)),"---")</f>
        <v>46192</v>
      </c>
      <c r="K254" s="40">
        <f t="shared" si="15"/>
        <v>46142</v>
      </c>
    </row>
    <row r="255" spans="1:11" x14ac:dyDescent="0.2">
      <c r="A255" s="18" t="s">
        <v>344</v>
      </c>
      <c r="B255" s="2">
        <v>44012</v>
      </c>
      <c r="C255" s="2">
        <v>46199</v>
      </c>
      <c r="D255" s="2">
        <v>46199</v>
      </c>
      <c r="E255" s="22">
        <v>46171</v>
      </c>
      <c r="F255" s="2">
        <f t="shared" si="13"/>
        <v>46171</v>
      </c>
      <c r="G255" t="str">
        <f t="shared" si="14"/>
        <v>GC</v>
      </c>
      <c r="H255" s="35" t="str">
        <f t="shared" si="12"/>
        <v>COMEX</v>
      </c>
      <c r="I255" t="str" cm="1">
        <f t="array" ref="I255">IFERROR(INDEX(Spreads!A:A,MATCH(1, (Spreads!E:E=G255)*(Spreads!C:C&gt;=F255), 0)),"---")</f>
        <v>GOLD-6.26</v>
      </c>
      <c r="J255" s="40">
        <f>IFERROR(INDEX(Spreads!C:C, MATCH('CME Data'!I255,Spreads!A:A,0)),"---")</f>
        <v>46192</v>
      </c>
      <c r="K255" s="40">
        <f t="shared" si="15"/>
        <v>46171</v>
      </c>
    </row>
    <row r="256" spans="1:11" x14ac:dyDescent="0.2">
      <c r="A256" s="18" t="s">
        <v>345</v>
      </c>
      <c r="B256" s="2">
        <v>45698</v>
      </c>
      <c r="C256" s="2">
        <v>46232</v>
      </c>
      <c r="D256" s="2">
        <v>46232</v>
      </c>
      <c r="E256" s="22">
        <v>46203</v>
      </c>
      <c r="F256" s="2">
        <f t="shared" si="13"/>
        <v>46203</v>
      </c>
      <c r="G256" t="str">
        <f t="shared" si="14"/>
        <v>GC</v>
      </c>
      <c r="H256" s="35" t="str">
        <f t="shared" si="12"/>
        <v>COMEX</v>
      </c>
      <c r="I256" t="str" cm="1">
        <f t="array" ref="I256">IFERROR(INDEX(Spreads!A:A,MATCH(1, (Spreads!E:E=G256)*(Spreads!C:C&gt;=F256), 0)),"---")</f>
        <v>GOLD-9.26</v>
      </c>
      <c r="J256" s="40">
        <f>IFERROR(INDEX(Spreads!C:C, MATCH('CME Data'!I256,Spreads!A:A,0)),"---")</f>
        <v>46283</v>
      </c>
      <c r="K256" s="40">
        <f t="shared" si="15"/>
        <v>46203</v>
      </c>
    </row>
    <row r="257" spans="1:11" x14ac:dyDescent="0.2">
      <c r="A257" s="18" t="s">
        <v>346</v>
      </c>
      <c r="B257" s="2">
        <v>45565</v>
      </c>
      <c r="C257" s="2">
        <v>46261</v>
      </c>
      <c r="D257" s="2">
        <v>46261</v>
      </c>
      <c r="E257" s="22">
        <v>46234</v>
      </c>
      <c r="F257" s="2">
        <f t="shared" si="13"/>
        <v>46234</v>
      </c>
      <c r="G257" t="str">
        <f t="shared" si="14"/>
        <v>GC</v>
      </c>
      <c r="H257" s="35" t="str">
        <f t="shared" si="12"/>
        <v>COMEX</v>
      </c>
      <c r="I257" t="str" cm="1">
        <f t="array" ref="I257">IFERROR(INDEX(Spreads!A:A,MATCH(1, (Spreads!E:E=G257)*(Spreads!C:C&gt;=F257), 0)),"---")</f>
        <v>GOLD-9.26</v>
      </c>
      <c r="J257" s="40">
        <f>IFERROR(INDEX(Spreads!C:C, MATCH('CME Data'!I257,Spreads!A:A,0)),"---")</f>
        <v>46283</v>
      </c>
      <c r="K257" s="40">
        <f t="shared" si="15"/>
        <v>46234</v>
      </c>
    </row>
    <row r="258" spans="1:11" x14ac:dyDescent="0.2">
      <c r="A258" s="18" t="s">
        <v>347</v>
      </c>
      <c r="B258" s="2">
        <v>45698</v>
      </c>
      <c r="C258" s="2">
        <v>46293</v>
      </c>
      <c r="D258" s="2">
        <v>46293</v>
      </c>
      <c r="E258" s="22">
        <v>46265</v>
      </c>
      <c r="F258" s="2">
        <f t="shared" si="13"/>
        <v>46265</v>
      </c>
      <c r="G258" t="str">
        <f t="shared" si="14"/>
        <v>GC</v>
      </c>
      <c r="H258" s="35" t="str">
        <f t="shared" si="12"/>
        <v>COMEX</v>
      </c>
      <c r="I258" t="str" cm="1">
        <f t="array" ref="I258">IFERROR(INDEX(Spreads!A:A,MATCH(1, (Spreads!E:E=G258)*(Spreads!C:C&gt;=F258), 0)),"---")</f>
        <v>GOLD-9.26</v>
      </c>
      <c r="J258" s="40">
        <f>IFERROR(INDEX(Spreads!C:C, MATCH('CME Data'!I258,Spreads!A:A,0)),"---")</f>
        <v>46283</v>
      </c>
      <c r="K258" s="40">
        <f t="shared" si="15"/>
        <v>46265</v>
      </c>
    </row>
    <row r="259" spans="1:11" x14ac:dyDescent="0.2">
      <c r="A259" s="18" t="s">
        <v>348</v>
      </c>
      <c r="B259" s="2">
        <v>45625</v>
      </c>
      <c r="C259" s="2">
        <v>46323</v>
      </c>
      <c r="D259" s="2">
        <v>46323</v>
      </c>
      <c r="E259" s="22">
        <v>46295</v>
      </c>
      <c r="F259" s="2">
        <f t="shared" ref="F259:F320" si="16">MIN(C259:E259)</f>
        <v>46295</v>
      </c>
      <c r="G259" t="str">
        <f t="shared" ref="G259:G320" si="17">MID(A259,1,LEN(A259)-3)</f>
        <v>GC</v>
      </c>
      <c r="H259" s="35" t="str">
        <f t="shared" ref="H259:H322" si="18">IFERROR(INDEX(O:O, MATCH(G259,N:N,0)),"---")</f>
        <v>COMEX</v>
      </c>
      <c r="I259" t="str" cm="1">
        <f t="array" ref="I259">IFERROR(INDEX(Spreads!A:A,MATCH(1, (Spreads!E:E=G259)*(Spreads!C:C&gt;=F259), 0)),"---")</f>
        <v>GOLD-12.26</v>
      </c>
      <c r="J259" s="40">
        <f>IFERROR(INDEX(Spreads!C:C, MATCH('CME Data'!I259,Spreads!A:A,0)),"---")</f>
        <v>46374</v>
      </c>
      <c r="K259" s="40">
        <f t="shared" si="15"/>
        <v>46295</v>
      </c>
    </row>
    <row r="260" spans="1:11" x14ac:dyDescent="0.2">
      <c r="A260" s="18" t="s">
        <v>349</v>
      </c>
      <c r="B260" s="2">
        <v>45698</v>
      </c>
      <c r="C260" s="2">
        <v>46351</v>
      </c>
      <c r="D260" s="2">
        <v>46351</v>
      </c>
      <c r="E260" s="22">
        <v>46325</v>
      </c>
      <c r="F260" s="2">
        <f t="shared" si="16"/>
        <v>46325</v>
      </c>
      <c r="G260" t="str">
        <f t="shared" si="17"/>
        <v>GC</v>
      </c>
      <c r="H260" s="35" t="str">
        <f t="shared" si="18"/>
        <v>COMEX</v>
      </c>
      <c r="I260" t="str" cm="1">
        <f t="array" ref="I260">IFERROR(INDEX(Spreads!A:A,MATCH(1, (Spreads!E:E=G260)*(Spreads!C:C&gt;=F260), 0)),"---")</f>
        <v>GOLD-12.26</v>
      </c>
      <c r="J260" s="40">
        <f>IFERROR(INDEX(Spreads!C:C, MATCH('CME Data'!I260,Spreads!A:A,0)),"---")</f>
        <v>46374</v>
      </c>
      <c r="K260" s="40">
        <f t="shared" ref="K260:K323" si="19">MIN(J260,F260)</f>
        <v>46325</v>
      </c>
    </row>
    <row r="261" spans="1:11" x14ac:dyDescent="0.2">
      <c r="A261" s="18" t="s">
        <v>350</v>
      </c>
      <c r="B261" s="2">
        <v>44196</v>
      </c>
      <c r="C261" s="2">
        <v>46385</v>
      </c>
      <c r="D261" s="2">
        <v>46385</v>
      </c>
      <c r="E261" s="22">
        <v>46356</v>
      </c>
      <c r="F261" s="2">
        <f t="shared" si="16"/>
        <v>46356</v>
      </c>
      <c r="G261" t="str">
        <f t="shared" si="17"/>
        <v>GC</v>
      </c>
      <c r="H261" s="35" t="str">
        <f t="shared" si="18"/>
        <v>COMEX</v>
      </c>
      <c r="I261" t="str" cm="1">
        <f t="array" ref="I261">IFERROR(INDEX(Spreads!A:A,MATCH(1, (Spreads!E:E=G261)*(Spreads!C:C&gt;=F261), 0)),"---")</f>
        <v>GOLD-12.26</v>
      </c>
      <c r="J261" s="40">
        <f>IFERROR(INDEX(Spreads!C:C, MATCH('CME Data'!I261,Spreads!A:A,0)),"---")</f>
        <v>46374</v>
      </c>
      <c r="K261" s="40">
        <f t="shared" si="19"/>
        <v>46356</v>
      </c>
    </row>
    <row r="262" spans="1:11" x14ac:dyDescent="0.2">
      <c r="A262" s="18" t="s">
        <v>351</v>
      </c>
      <c r="B262" s="2">
        <v>45698</v>
      </c>
      <c r="C262" s="2">
        <v>46414</v>
      </c>
      <c r="D262" s="2">
        <v>46414</v>
      </c>
      <c r="E262" s="22">
        <v>46387</v>
      </c>
      <c r="F262" s="2">
        <f t="shared" si="16"/>
        <v>46387</v>
      </c>
      <c r="G262" t="str">
        <f t="shared" si="17"/>
        <v>GC</v>
      </c>
      <c r="H262" s="35" t="str">
        <f t="shared" si="18"/>
        <v>COMEX</v>
      </c>
      <c r="I262" t="str" cm="1">
        <f t="array" ref="I262">IFERROR(INDEX(Spreads!A:A,MATCH(1, (Spreads!E:E=G262)*(Spreads!C:C&gt;=F262), 0)),"---")</f>
        <v>---</v>
      </c>
      <c r="J262" s="40" t="str">
        <f>IFERROR(INDEX(Spreads!C:C, MATCH('CME Data'!I262,Spreads!A:A,0)),"---")</f>
        <v>---</v>
      </c>
      <c r="K262" s="40">
        <f t="shared" si="19"/>
        <v>46387</v>
      </c>
    </row>
    <row r="263" spans="1:11" x14ac:dyDescent="0.2">
      <c r="A263" s="18" t="s">
        <v>352</v>
      </c>
      <c r="B263" s="2">
        <v>45716</v>
      </c>
      <c r="C263" s="2">
        <v>46442</v>
      </c>
      <c r="D263" s="2">
        <v>46442</v>
      </c>
      <c r="E263" s="22">
        <v>46416</v>
      </c>
      <c r="F263" s="2">
        <f t="shared" si="16"/>
        <v>46416</v>
      </c>
      <c r="G263" t="str">
        <f t="shared" si="17"/>
        <v>GC</v>
      </c>
      <c r="H263" s="35" t="str">
        <f t="shared" si="18"/>
        <v>COMEX</v>
      </c>
      <c r="I263" t="str" cm="1">
        <f t="array" ref="I263">IFERROR(INDEX(Spreads!A:A,MATCH(1, (Spreads!E:E=G263)*(Spreads!C:C&gt;=F263), 0)),"---")</f>
        <v>---</v>
      </c>
      <c r="J263" s="40" t="str">
        <f>IFERROR(INDEX(Spreads!C:C, MATCH('CME Data'!I263,Spreads!A:A,0)),"---")</f>
        <v>---</v>
      </c>
      <c r="K263" s="40">
        <f t="shared" si="19"/>
        <v>46416</v>
      </c>
    </row>
    <row r="264" spans="1:11" x14ac:dyDescent="0.2">
      <c r="A264" s="18" t="s">
        <v>353</v>
      </c>
      <c r="B264" s="2">
        <v>45744</v>
      </c>
      <c r="C264" s="2">
        <v>46475</v>
      </c>
      <c r="D264" s="2">
        <v>46475</v>
      </c>
      <c r="E264" s="22">
        <v>46444</v>
      </c>
      <c r="F264" s="2">
        <f t="shared" si="16"/>
        <v>46444</v>
      </c>
      <c r="G264" t="str">
        <f t="shared" si="17"/>
        <v>GC</v>
      </c>
      <c r="H264" s="35" t="str">
        <f t="shared" si="18"/>
        <v>COMEX</v>
      </c>
      <c r="I264" t="str" cm="1">
        <f t="array" ref="I264">IFERROR(INDEX(Spreads!A:A,MATCH(1, (Spreads!E:E=G264)*(Spreads!C:C&gt;=F264), 0)),"---")</f>
        <v>---</v>
      </c>
      <c r="J264" s="40" t="str">
        <f>IFERROR(INDEX(Spreads!C:C, MATCH('CME Data'!I264,Spreads!A:A,0)),"---")</f>
        <v>---</v>
      </c>
      <c r="K264" s="40">
        <f t="shared" si="19"/>
        <v>46444</v>
      </c>
    </row>
    <row r="265" spans="1:11" x14ac:dyDescent="0.2">
      <c r="A265" s="18" t="s">
        <v>354</v>
      </c>
      <c r="B265" s="2">
        <v>45761</v>
      </c>
      <c r="C265" s="2">
        <v>46505</v>
      </c>
      <c r="D265" s="2">
        <v>46505</v>
      </c>
      <c r="E265" s="22">
        <v>46477</v>
      </c>
      <c r="F265" s="2">
        <f t="shared" si="16"/>
        <v>46477</v>
      </c>
      <c r="G265" t="str">
        <f t="shared" si="17"/>
        <v>GC</v>
      </c>
      <c r="H265" s="35" t="str">
        <f t="shared" si="18"/>
        <v>COMEX</v>
      </c>
      <c r="I265" t="str" cm="1">
        <f t="array" ref="I265">IFERROR(INDEX(Spreads!A:A,MATCH(1, (Spreads!E:E=G265)*(Spreads!C:C&gt;=F265), 0)),"---")</f>
        <v>---</v>
      </c>
      <c r="J265" s="40" t="str">
        <f>IFERROR(INDEX(Spreads!C:C, MATCH('CME Data'!I265,Spreads!A:A,0)),"---")</f>
        <v>---</v>
      </c>
      <c r="K265" s="40">
        <f t="shared" si="19"/>
        <v>46477</v>
      </c>
    </row>
    <row r="266" spans="1:11" x14ac:dyDescent="0.2">
      <c r="A266" s="18" t="s">
        <v>355</v>
      </c>
      <c r="B266" s="2">
        <v>45761</v>
      </c>
      <c r="C266" s="2">
        <v>46533</v>
      </c>
      <c r="D266" s="2">
        <v>46533</v>
      </c>
      <c r="E266" s="22">
        <v>46507</v>
      </c>
      <c r="F266" s="2">
        <f t="shared" si="16"/>
        <v>46507</v>
      </c>
      <c r="G266" t="str">
        <f t="shared" si="17"/>
        <v>GC</v>
      </c>
      <c r="H266" s="35" t="str">
        <f t="shared" si="18"/>
        <v>COMEX</v>
      </c>
      <c r="I266" t="str" cm="1">
        <f t="array" ref="I266">IFERROR(INDEX(Spreads!A:A,MATCH(1, (Spreads!E:E=G266)*(Spreads!C:C&gt;=F266), 0)),"---")</f>
        <v>---</v>
      </c>
      <c r="J266" s="40" t="str">
        <f>IFERROR(INDEX(Spreads!C:C, MATCH('CME Data'!I266,Spreads!A:A,0)),"---")</f>
        <v>---</v>
      </c>
      <c r="K266" s="40">
        <f t="shared" si="19"/>
        <v>46507</v>
      </c>
    </row>
    <row r="267" spans="1:11" x14ac:dyDescent="0.2">
      <c r="A267" s="18" t="s">
        <v>356</v>
      </c>
      <c r="B267" s="2">
        <v>44377</v>
      </c>
      <c r="C267" s="2">
        <v>46566</v>
      </c>
      <c r="D267" s="2">
        <v>46566</v>
      </c>
      <c r="E267" s="22">
        <v>46535</v>
      </c>
      <c r="F267" s="2">
        <f t="shared" si="16"/>
        <v>46535</v>
      </c>
      <c r="G267" t="str">
        <f t="shared" si="17"/>
        <v>GC</v>
      </c>
      <c r="H267" s="35" t="str">
        <f t="shared" si="18"/>
        <v>COMEX</v>
      </c>
      <c r="I267" t="str" cm="1">
        <f t="array" ref="I267">IFERROR(INDEX(Spreads!A:A,MATCH(1, (Spreads!E:E=G267)*(Spreads!C:C&gt;=F267), 0)),"---")</f>
        <v>---</v>
      </c>
      <c r="J267" s="40" t="str">
        <f>IFERROR(INDEX(Spreads!C:C, MATCH('CME Data'!I267,Spreads!A:A,0)),"---")</f>
        <v>---</v>
      </c>
      <c r="K267" s="40">
        <f t="shared" si="19"/>
        <v>46535</v>
      </c>
    </row>
    <row r="268" spans="1:11" x14ac:dyDescent="0.2">
      <c r="A268" s="18" t="s">
        <v>357</v>
      </c>
      <c r="B268" s="2">
        <v>45806</v>
      </c>
      <c r="C268" s="2">
        <v>46596</v>
      </c>
      <c r="D268" s="2">
        <v>46596</v>
      </c>
      <c r="E268" s="22">
        <v>46568</v>
      </c>
      <c r="F268" s="2">
        <f t="shared" si="16"/>
        <v>46568</v>
      </c>
      <c r="G268" t="str">
        <f t="shared" si="17"/>
        <v>GC</v>
      </c>
      <c r="H268" s="35" t="str">
        <f t="shared" si="18"/>
        <v>COMEX</v>
      </c>
      <c r="I268" t="str" cm="1">
        <f t="array" ref="I268">IFERROR(INDEX(Spreads!A:A,MATCH(1, (Spreads!E:E=G268)*(Spreads!C:C&gt;=F268), 0)),"---")</f>
        <v>---</v>
      </c>
      <c r="J268" s="40" t="str">
        <f>IFERROR(INDEX(Spreads!C:C, MATCH('CME Data'!I268,Spreads!A:A,0)),"---")</f>
        <v>---</v>
      </c>
      <c r="K268" s="40">
        <f t="shared" si="19"/>
        <v>46568</v>
      </c>
    </row>
    <row r="269" spans="1:11" x14ac:dyDescent="0.2">
      <c r="A269" s="18" t="s">
        <v>358</v>
      </c>
      <c r="B269" s="2">
        <v>45835</v>
      </c>
      <c r="C269" s="2">
        <v>46626</v>
      </c>
      <c r="D269" s="2">
        <v>46626</v>
      </c>
      <c r="E269" s="22">
        <v>46598</v>
      </c>
      <c r="F269" s="2">
        <f t="shared" si="16"/>
        <v>46598</v>
      </c>
      <c r="G269" t="str">
        <f t="shared" si="17"/>
        <v>GC</v>
      </c>
      <c r="H269" s="35" t="str">
        <f t="shared" si="18"/>
        <v>COMEX</v>
      </c>
      <c r="I269" t="str" cm="1">
        <f t="array" ref="I269">IFERROR(INDEX(Spreads!A:A,MATCH(1, (Spreads!E:E=G269)*(Spreads!C:C&gt;=F269), 0)),"---")</f>
        <v>---</v>
      </c>
      <c r="J269" s="40" t="str">
        <f>IFERROR(INDEX(Spreads!C:C, MATCH('CME Data'!I269,Spreads!A:A,0)),"---")</f>
        <v>---</v>
      </c>
      <c r="K269" s="40">
        <f t="shared" si="19"/>
        <v>46598</v>
      </c>
    </row>
    <row r="270" spans="1:11" x14ac:dyDescent="0.2">
      <c r="A270" s="18" t="s">
        <v>359</v>
      </c>
      <c r="B270" s="2">
        <v>45868</v>
      </c>
      <c r="C270" s="2">
        <v>46658</v>
      </c>
      <c r="D270" s="2">
        <v>46658</v>
      </c>
      <c r="E270" s="22">
        <v>46630</v>
      </c>
      <c r="F270" s="2">
        <f t="shared" si="16"/>
        <v>46630</v>
      </c>
      <c r="G270" t="str">
        <f t="shared" si="17"/>
        <v>GC</v>
      </c>
      <c r="H270" s="35" t="str">
        <f t="shared" si="18"/>
        <v>COMEX</v>
      </c>
      <c r="I270" t="str" cm="1">
        <f t="array" ref="I270">IFERROR(INDEX(Spreads!A:A,MATCH(1, (Spreads!E:E=G270)*(Spreads!C:C&gt;=F270), 0)),"---")</f>
        <v>---</v>
      </c>
      <c r="J270" s="40" t="str">
        <f>IFERROR(INDEX(Spreads!C:C, MATCH('CME Data'!I270,Spreads!A:A,0)),"---")</f>
        <v>---</v>
      </c>
      <c r="K270" s="40">
        <f t="shared" si="19"/>
        <v>46630</v>
      </c>
    </row>
    <row r="271" spans="1:11" x14ac:dyDescent="0.2">
      <c r="A271" s="18" t="s">
        <v>360</v>
      </c>
      <c r="B271" s="2">
        <v>45897</v>
      </c>
      <c r="C271" s="2">
        <v>46687</v>
      </c>
      <c r="D271" s="2">
        <v>46687</v>
      </c>
      <c r="E271" s="22">
        <v>46660</v>
      </c>
      <c r="F271" s="2">
        <f t="shared" si="16"/>
        <v>46660</v>
      </c>
      <c r="G271" t="str">
        <f t="shared" si="17"/>
        <v>GC</v>
      </c>
      <c r="H271" s="35" t="str">
        <f t="shared" si="18"/>
        <v>COMEX</v>
      </c>
      <c r="I271" t="str" cm="1">
        <f t="array" ref="I271">IFERROR(INDEX(Spreads!A:A,MATCH(1, (Spreads!E:E=G271)*(Spreads!C:C&gt;=F271), 0)),"---")</f>
        <v>---</v>
      </c>
      <c r="J271" s="40" t="str">
        <f>IFERROR(INDEX(Spreads!C:C, MATCH('CME Data'!I271,Spreads!A:A,0)),"---")</f>
        <v>---</v>
      </c>
      <c r="K271" s="40">
        <f t="shared" si="19"/>
        <v>46660</v>
      </c>
    </row>
    <row r="272" spans="1:11" x14ac:dyDescent="0.2">
      <c r="A272" s="18" t="s">
        <v>361</v>
      </c>
      <c r="B272" s="2">
        <v>45929</v>
      </c>
      <c r="C272" s="2">
        <v>46717</v>
      </c>
      <c r="D272" s="2">
        <v>46717</v>
      </c>
      <c r="E272" s="22">
        <v>46689</v>
      </c>
      <c r="F272" s="2">
        <f t="shared" si="16"/>
        <v>46689</v>
      </c>
      <c r="G272" t="str">
        <f t="shared" si="17"/>
        <v>GC</v>
      </c>
      <c r="H272" s="35" t="str">
        <f t="shared" si="18"/>
        <v>COMEX</v>
      </c>
      <c r="I272" t="str" cm="1">
        <f t="array" ref="I272">IFERROR(INDEX(Spreads!A:A,MATCH(1, (Spreads!E:E=G272)*(Spreads!C:C&gt;=F272), 0)),"---")</f>
        <v>---</v>
      </c>
      <c r="J272" s="40" t="str">
        <f>IFERROR(INDEX(Spreads!C:C, MATCH('CME Data'!I272,Spreads!A:A,0)),"---")</f>
        <v>---</v>
      </c>
      <c r="K272" s="40">
        <f t="shared" si="19"/>
        <v>46689</v>
      </c>
    </row>
    <row r="273" spans="1:11" x14ac:dyDescent="0.2">
      <c r="A273" s="18" t="s">
        <v>362</v>
      </c>
      <c r="B273" s="2">
        <v>44561</v>
      </c>
      <c r="C273" s="2">
        <v>46750</v>
      </c>
      <c r="D273" s="2">
        <v>46750</v>
      </c>
      <c r="E273" s="22">
        <v>46721</v>
      </c>
      <c r="F273" s="2">
        <f t="shared" si="16"/>
        <v>46721</v>
      </c>
      <c r="G273" t="str">
        <f t="shared" si="17"/>
        <v>GC</v>
      </c>
      <c r="H273" s="35" t="str">
        <f t="shared" si="18"/>
        <v>COMEX</v>
      </c>
      <c r="I273" t="str" cm="1">
        <f t="array" ref="I273">IFERROR(INDEX(Spreads!A:A,MATCH(1, (Spreads!E:E=G273)*(Spreads!C:C&gt;=F273), 0)),"---")</f>
        <v>---</v>
      </c>
      <c r="J273" s="40" t="str">
        <f>IFERROR(INDEX(Spreads!C:C, MATCH('CME Data'!I273,Spreads!A:A,0)),"---")</f>
        <v>---</v>
      </c>
      <c r="K273" s="40">
        <f t="shared" si="19"/>
        <v>46721</v>
      </c>
    </row>
    <row r="274" spans="1:11" x14ac:dyDescent="0.2">
      <c r="A274" s="18" t="s">
        <v>363</v>
      </c>
      <c r="B274" s="2">
        <v>45987</v>
      </c>
      <c r="C274" s="2">
        <v>46779</v>
      </c>
      <c r="D274" s="2">
        <v>46779</v>
      </c>
      <c r="E274" s="22">
        <v>46752</v>
      </c>
      <c r="F274" s="2">
        <f t="shared" si="16"/>
        <v>46752</v>
      </c>
      <c r="G274" t="str">
        <f t="shared" si="17"/>
        <v>GC</v>
      </c>
      <c r="H274" s="35" t="str">
        <f t="shared" si="18"/>
        <v>COMEX</v>
      </c>
      <c r="I274" t="str" cm="1">
        <f t="array" ref="I274">IFERROR(INDEX(Spreads!A:A,MATCH(1, (Spreads!E:E=G274)*(Spreads!C:C&gt;=F274), 0)),"---")</f>
        <v>---</v>
      </c>
      <c r="J274" s="40" t="str">
        <f>IFERROR(INDEX(Spreads!C:C, MATCH('CME Data'!I274,Spreads!A:A,0)),"---")</f>
        <v>---</v>
      </c>
      <c r="K274" s="40">
        <f t="shared" si="19"/>
        <v>46752</v>
      </c>
    </row>
    <row r="275" spans="1:11" x14ac:dyDescent="0.2">
      <c r="A275" s="18" t="s">
        <v>364</v>
      </c>
      <c r="B275" s="2">
        <v>46021</v>
      </c>
      <c r="C275" s="2">
        <v>46808</v>
      </c>
      <c r="D275" s="2">
        <v>46808</v>
      </c>
      <c r="E275" s="22">
        <v>46783</v>
      </c>
      <c r="F275" s="2">
        <f t="shared" si="16"/>
        <v>46783</v>
      </c>
      <c r="G275" t="str">
        <f t="shared" si="17"/>
        <v>GC</v>
      </c>
      <c r="H275" s="35" t="str">
        <f t="shared" si="18"/>
        <v>COMEX</v>
      </c>
      <c r="I275" t="str" cm="1">
        <f t="array" ref="I275">IFERROR(INDEX(Spreads!A:A,MATCH(1, (Spreads!E:E=G275)*(Spreads!C:C&gt;=F275), 0)),"---")</f>
        <v>---</v>
      </c>
      <c r="J275" s="40" t="str">
        <f>IFERROR(INDEX(Spreads!C:C, MATCH('CME Data'!I275,Spreads!A:A,0)),"---")</f>
        <v>---</v>
      </c>
      <c r="K275" s="40">
        <f t="shared" si="19"/>
        <v>46783</v>
      </c>
    </row>
    <row r="276" spans="1:11" x14ac:dyDescent="0.2">
      <c r="A276" s="18" t="s">
        <v>365</v>
      </c>
      <c r="B276" s="2">
        <v>46051</v>
      </c>
      <c r="C276" s="2">
        <v>46841</v>
      </c>
      <c r="D276" s="2">
        <v>46841</v>
      </c>
      <c r="E276" s="22">
        <v>46812</v>
      </c>
      <c r="F276" s="2">
        <f t="shared" si="16"/>
        <v>46812</v>
      </c>
      <c r="G276" t="str">
        <f t="shared" si="17"/>
        <v>GC</v>
      </c>
      <c r="H276" s="35" t="str">
        <f t="shared" si="18"/>
        <v>COMEX</v>
      </c>
      <c r="I276" t="str" cm="1">
        <f t="array" ref="I276">IFERROR(INDEX(Spreads!A:A,MATCH(1, (Spreads!E:E=G276)*(Spreads!C:C&gt;=F276), 0)),"---")</f>
        <v>---</v>
      </c>
      <c r="J276" s="40" t="str">
        <f>IFERROR(INDEX(Spreads!C:C, MATCH('CME Data'!I276,Spreads!A:A,0)),"---")</f>
        <v>---</v>
      </c>
      <c r="K276" s="40">
        <f t="shared" si="19"/>
        <v>46812</v>
      </c>
    </row>
    <row r="277" spans="1:11" x14ac:dyDescent="0.2">
      <c r="A277" s="18" t="s">
        <v>366</v>
      </c>
      <c r="B277" s="2">
        <v>46079</v>
      </c>
      <c r="C277" s="2">
        <v>46869</v>
      </c>
      <c r="D277" s="2">
        <v>46869</v>
      </c>
      <c r="E277" s="22">
        <v>46843</v>
      </c>
      <c r="F277" s="2">
        <f t="shared" si="16"/>
        <v>46843</v>
      </c>
      <c r="G277" t="str">
        <f t="shared" si="17"/>
        <v>GC</v>
      </c>
      <c r="H277" s="35" t="str">
        <f t="shared" si="18"/>
        <v>COMEX</v>
      </c>
      <c r="I277" t="str" cm="1">
        <f t="array" ref="I277">IFERROR(INDEX(Spreads!A:A,MATCH(1, (Spreads!E:E=G277)*(Spreads!C:C&gt;=F277), 0)),"---")</f>
        <v>---</v>
      </c>
      <c r="J277" s="40" t="str">
        <f>IFERROR(INDEX(Spreads!C:C, MATCH('CME Data'!I277,Spreads!A:A,0)),"---")</f>
        <v>---</v>
      </c>
      <c r="K277" s="40">
        <f t="shared" si="19"/>
        <v>46843</v>
      </c>
    </row>
    <row r="278" spans="1:11" x14ac:dyDescent="0.2">
      <c r="A278" s="18" t="s">
        <v>367</v>
      </c>
      <c r="B278" s="2">
        <v>46111</v>
      </c>
      <c r="C278" s="2">
        <v>46899</v>
      </c>
      <c r="D278" s="2">
        <v>46899</v>
      </c>
      <c r="E278" s="22">
        <v>46871</v>
      </c>
      <c r="F278" s="2">
        <f t="shared" si="16"/>
        <v>46871</v>
      </c>
      <c r="G278" t="str">
        <f t="shared" si="17"/>
        <v>GC</v>
      </c>
      <c r="H278" s="35" t="str">
        <f t="shared" si="18"/>
        <v>COMEX</v>
      </c>
      <c r="I278" t="str" cm="1">
        <f t="array" ref="I278">IFERROR(INDEX(Spreads!A:A,MATCH(1, (Spreads!E:E=G278)*(Spreads!C:C&gt;=F278), 0)),"---")</f>
        <v>---</v>
      </c>
      <c r="J278" s="40" t="str">
        <f>IFERROR(INDEX(Spreads!C:C, MATCH('CME Data'!I278,Spreads!A:A,0)),"---")</f>
        <v>---</v>
      </c>
      <c r="K278" s="40">
        <f t="shared" si="19"/>
        <v>46871</v>
      </c>
    </row>
    <row r="279" spans="1:11" x14ac:dyDescent="0.2">
      <c r="A279" s="18" t="s">
        <v>368</v>
      </c>
      <c r="B279" s="2">
        <v>44742</v>
      </c>
      <c r="C279" s="2">
        <v>46932</v>
      </c>
      <c r="D279" s="2">
        <v>46932</v>
      </c>
      <c r="E279" s="22">
        <v>46904</v>
      </c>
      <c r="F279" s="2">
        <f t="shared" si="16"/>
        <v>46904</v>
      </c>
      <c r="G279" t="str">
        <f t="shared" si="17"/>
        <v>GC</v>
      </c>
      <c r="H279" s="35" t="str">
        <f t="shared" si="18"/>
        <v>COMEX</v>
      </c>
      <c r="I279" t="str" cm="1">
        <f t="array" ref="I279">IFERROR(INDEX(Spreads!A:A,MATCH(1, (Spreads!E:E=G279)*(Spreads!C:C&gt;=F279), 0)),"---")</f>
        <v>---</v>
      </c>
      <c r="J279" s="40" t="str">
        <f>IFERROR(INDEX(Spreads!C:C, MATCH('CME Data'!I279,Spreads!A:A,0)),"---")</f>
        <v>---</v>
      </c>
      <c r="K279" s="40">
        <f t="shared" si="19"/>
        <v>46904</v>
      </c>
    </row>
    <row r="280" spans="1:11" x14ac:dyDescent="0.2">
      <c r="A280" s="18" t="s">
        <v>369</v>
      </c>
      <c r="B280" s="2">
        <v>44925</v>
      </c>
      <c r="C280" s="2">
        <v>47114</v>
      </c>
      <c r="D280" s="2">
        <v>47114</v>
      </c>
      <c r="E280" s="22">
        <v>47087</v>
      </c>
      <c r="F280" s="2">
        <f t="shared" si="16"/>
        <v>47087</v>
      </c>
      <c r="G280" t="str">
        <f t="shared" si="17"/>
        <v>GC</v>
      </c>
      <c r="H280" s="35" t="str">
        <f t="shared" si="18"/>
        <v>COMEX</v>
      </c>
      <c r="I280" t="str" cm="1">
        <f t="array" ref="I280">IFERROR(INDEX(Spreads!A:A,MATCH(1, (Spreads!E:E=G280)*(Spreads!C:C&gt;=F280), 0)),"---")</f>
        <v>---</v>
      </c>
      <c r="J280" s="40" t="str">
        <f>IFERROR(INDEX(Spreads!C:C, MATCH('CME Data'!I280,Spreads!A:A,0)),"---")</f>
        <v>---</v>
      </c>
      <c r="K280" s="40">
        <f t="shared" si="19"/>
        <v>47087</v>
      </c>
    </row>
    <row r="281" spans="1:11" x14ac:dyDescent="0.2">
      <c r="A281" s="18" t="s">
        <v>370</v>
      </c>
      <c r="B281" s="2">
        <v>45107</v>
      </c>
      <c r="C281" s="2">
        <v>47296</v>
      </c>
      <c r="D281" s="2">
        <v>47296</v>
      </c>
      <c r="E281" s="22">
        <v>47269</v>
      </c>
      <c r="F281" s="2">
        <f t="shared" si="16"/>
        <v>47269</v>
      </c>
      <c r="G281" t="str">
        <f t="shared" si="17"/>
        <v>GC</v>
      </c>
      <c r="H281" s="35" t="str">
        <f t="shared" si="18"/>
        <v>COMEX</v>
      </c>
      <c r="I281" t="str" cm="1">
        <f t="array" ref="I281">IFERROR(INDEX(Spreads!A:A,MATCH(1, (Spreads!E:E=G281)*(Spreads!C:C&gt;=F281), 0)),"---")</f>
        <v>---</v>
      </c>
      <c r="J281" s="40" t="str">
        <f>IFERROR(INDEX(Spreads!C:C, MATCH('CME Data'!I281,Spreads!A:A,0)),"---")</f>
        <v>---</v>
      </c>
      <c r="K281" s="40">
        <f t="shared" si="19"/>
        <v>47269</v>
      </c>
    </row>
    <row r="282" spans="1:11" x14ac:dyDescent="0.2">
      <c r="A282" s="18" t="s">
        <v>371</v>
      </c>
      <c r="B282" s="2">
        <v>45289</v>
      </c>
      <c r="C282" s="2">
        <v>47479</v>
      </c>
      <c r="D282" s="2">
        <v>47479</v>
      </c>
      <c r="E282" s="22">
        <v>47452</v>
      </c>
      <c r="F282" s="2">
        <f t="shared" si="16"/>
        <v>47452</v>
      </c>
      <c r="G282" t="str">
        <f t="shared" si="17"/>
        <v>GC</v>
      </c>
      <c r="H282" s="35" t="str">
        <f t="shared" si="18"/>
        <v>COMEX</v>
      </c>
      <c r="I282" t="str" cm="1">
        <f t="array" ref="I282">IFERROR(INDEX(Spreads!A:A,MATCH(1, (Spreads!E:E=G282)*(Spreads!C:C&gt;=F282), 0)),"---")</f>
        <v>---</v>
      </c>
      <c r="J282" s="40" t="str">
        <f>IFERROR(INDEX(Spreads!C:C, MATCH('CME Data'!I282,Spreads!A:A,0)),"---")</f>
        <v>---</v>
      </c>
      <c r="K282" s="40">
        <f t="shared" si="19"/>
        <v>47452</v>
      </c>
    </row>
    <row r="283" spans="1:11" x14ac:dyDescent="0.2">
      <c r="A283" s="18" t="s">
        <v>372</v>
      </c>
      <c r="B283" s="2">
        <v>45471</v>
      </c>
      <c r="C283" s="2">
        <v>47660</v>
      </c>
      <c r="D283" s="2">
        <v>47660</v>
      </c>
      <c r="E283" s="22">
        <v>47634</v>
      </c>
      <c r="F283" s="2">
        <f t="shared" si="16"/>
        <v>47634</v>
      </c>
      <c r="G283" t="str">
        <f t="shared" si="17"/>
        <v>GC</v>
      </c>
      <c r="H283" s="35" t="str">
        <f t="shared" si="18"/>
        <v>COMEX</v>
      </c>
      <c r="I283" t="str" cm="1">
        <f t="array" ref="I283">IFERROR(INDEX(Spreads!A:A,MATCH(1, (Spreads!E:E=G283)*(Spreads!C:C&gt;=F283), 0)),"---")</f>
        <v>---</v>
      </c>
      <c r="J283" s="40" t="str">
        <f>IFERROR(INDEX(Spreads!C:C, MATCH('CME Data'!I283,Spreads!A:A,0)),"---")</f>
        <v>---</v>
      </c>
      <c r="K283" s="40">
        <f t="shared" si="19"/>
        <v>47634</v>
      </c>
    </row>
    <row r="284" spans="1:11" x14ac:dyDescent="0.2">
      <c r="A284" s="18" t="s">
        <v>373</v>
      </c>
      <c r="B284" s="2">
        <v>45657</v>
      </c>
      <c r="C284" s="2">
        <v>47844</v>
      </c>
      <c r="D284" s="2">
        <v>47844</v>
      </c>
      <c r="E284" s="22">
        <v>47816</v>
      </c>
      <c r="F284" s="2">
        <f t="shared" si="16"/>
        <v>47816</v>
      </c>
      <c r="G284" t="str">
        <f t="shared" si="17"/>
        <v>GC</v>
      </c>
      <c r="H284" s="35" t="str">
        <f t="shared" si="18"/>
        <v>COMEX</v>
      </c>
      <c r="I284" t="str" cm="1">
        <f t="array" ref="I284">IFERROR(INDEX(Spreads!A:A,MATCH(1, (Spreads!E:E=G284)*(Spreads!C:C&gt;=F284), 0)),"---")</f>
        <v>---</v>
      </c>
      <c r="J284" s="40" t="str">
        <f>IFERROR(INDEX(Spreads!C:C, MATCH('CME Data'!I284,Spreads!A:A,0)),"---")</f>
        <v>---</v>
      </c>
      <c r="K284" s="40">
        <f t="shared" si="19"/>
        <v>47816</v>
      </c>
    </row>
    <row r="285" spans="1:11" x14ac:dyDescent="0.2">
      <c r="A285" s="18" t="s">
        <v>374</v>
      </c>
      <c r="B285" s="2">
        <v>45810</v>
      </c>
      <c r="C285" s="2">
        <v>48025</v>
      </c>
      <c r="D285" s="2">
        <v>48025</v>
      </c>
      <c r="E285" s="22">
        <v>47998</v>
      </c>
      <c r="F285" s="2">
        <f t="shared" si="16"/>
        <v>47998</v>
      </c>
      <c r="G285" t="str">
        <f t="shared" si="17"/>
        <v>GC</v>
      </c>
      <c r="H285" s="35" t="str">
        <f t="shared" si="18"/>
        <v>COMEX</v>
      </c>
      <c r="I285" t="str" cm="1">
        <f t="array" ref="I285">IFERROR(INDEX(Spreads!A:A,MATCH(1, (Spreads!E:E=G285)*(Spreads!C:C&gt;=F285), 0)),"---")</f>
        <v>---</v>
      </c>
      <c r="J285" s="40" t="str">
        <f>IFERROR(INDEX(Spreads!C:C, MATCH('CME Data'!I285,Spreads!A:A,0)),"---")</f>
        <v>---</v>
      </c>
      <c r="K285" s="40">
        <f t="shared" si="19"/>
        <v>47998</v>
      </c>
    </row>
    <row r="286" spans="1:11" x14ac:dyDescent="0.2">
      <c r="A286" s="18" t="s">
        <v>375</v>
      </c>
      <c r="B286" s="2">
        <v>45992</v>
      </c>
      <c r="C286" s="2">
        <v>48211</v>
      </c>
      <c r="D286" s="2">
        <v>48211</v>
      </c>
      <c r="E286" s="22">
        <v>48180</v>
      </c>
      <c r="F286" s="2">
        <f t="shared" si="16"/>
        <v>48180</v>
      </c>
      <c r="G286" t="str">
        <f t="shared" si="17"/>
        <v>GC</v>
      </c>
      <c r="H286" s="35" t="str">
        <f t="shared" si="18"/>
        <v>COMEX</v>
      </c>
      <c r="I286" t="str" cm="1">
        <f t="array" ref="I286">IFERROR(INDEX(Spreads!A:A,MATCH(1, (Spreads!E:E=G286)*(Spreads!C:C&gt;=F286), 0)),"---")</f>
        <v>---</v>
      </c>
      <c r="J286" s="40" t="str">
        <f>IFERROR(INDEX(Spreads!C:C, MATCH('CME Data'!I286,Spreads!A:A,0)),"---")</f>
        <v>---</v>
      </c>
      <c r="K286" s="40">
        <f t="shared" si="19"/>
        <v>48180</v>
      </c>
    </row>
    <row r="287" spans="1:11" x14ac:dyDescent="0.2">
      <c r="A287" s="18" t="s">
        <v>376</v>
      </c>
      <c r="B287" s="2">
        <v>45443</v>
      </c>
      <c r="C287" s="2">
        <v>46140</v>
      </c>
      <c r="D287" s="2">
        <v>46140</v>
      </c>
      <c r="E287" s="22">
        <v>46112</v>
      </c>
      <c r="F287" s="2">
        <f t="shared" si="16"/>
        <v>46112</v>
      </c>
      <c r="G287" t="str">
        <f t="shared" si="17"/>
        <v>MGC</v>
      </c>
      <c r="H287" s="35" t="str">
        <f t="shared" si="18"/>
        <v>COMEX_MINI</v>
      </c>
      <c r="I287" t="str" cm="1">
        <f t="array" ref="I287">IFERROR(INDEX(Spreads!A:A,MATCH(1, (Spreads!E:E=G287)*(Spreads!C:C&gt;=F287), 0)),"---")</f>
        <v>GOLD-6.26</v>
      </c>
      <c r="J287" s="40">
        <f>IFERROR(INDEX(Spreads!C:C, MATCH('CME Data'!I287,Spreads!A:A,0)),"---")</f>
        <v>46192</v>
      </c>
      <c r="K287" s="40">
        <f t="shared" si="19"/>
        <v>46112</v>
      </c>
    </row>
    <row r="288" spans="1:11" x14ac:dyDescent="0.2">
      <c r="A288" s="18" t="s">
        <v>377</v>
      </c>
      <c r="B288" s="2">
        <v>45471</v>
      </c>
      <c r="C288" s="2">
        <v>46199</v>
      </c>
      <c r="D288" s="2">
        <v>46199</v>
      </c>
      <c r="E288" s="22">
        <v>46171</v>
      </c>
      <c r="F288" s="2">
        <f t="shared" si="16"/>
        <v>46171</v>
      </c>
      <c r="G288" t="str">
        <f t="shared" si="17"/>
        <v>MGC</v>
      </c>
      <c r="H288" s="35" t="str">
        <f t="shared" si="18"/>
        <v>COMEX_MINI</v>
      </c>
      <c r="I288" t="str" cm="1">
        <f t="array" ref="I288">IFERROR(INDEX(Spreads!A:A,MATCH(1, (Spreads!E:E=G288)*(Spreads!C:C&gt;=F288), 0)),"---")</f>
        <v>GOLD-6.26</v>
      </c>
      <c r="J288" s="40">
        <f>IFERROR(INDEX(Spreads!C:C, MATCH('CME Data'!I288,Spreads!A:A,0)),"---")</f>
        <v>46192</v>
      </c>
      <c r="K288" s="40">
        <f t="shared" si="19"/>
        <v>46171</v>
      </c>
    </row>
    <row r="289" spans="1:11" x14ac:dyDescent="0.2">
      <c r="A289" s="18" t="s">
        <v>378</v>
      </c>
      <c r="B289" s="2">
        <v>45565</v>
      </c>
      <c r="C289" s="2">
        <v>46261</v>
      </c>
      <c r="D289" s="2">
        <v>46261</v>
      </c>
      <c r="E289" s="22">
        <v>46234</v>
      </c>
      <c r="F289" s="2">
        <f t="shared" si="16"/>
        <v>46234</v>
      </c>
      <c r="G289" t="str">
        <f t="shared" si="17"/>
        <v>MGC</v>
      </c>
      <c r="H289" s="35" t="str">
        <f t="shared" si="18"/>
        <v>COMEX_MINI</v>
      </c>
      <c r="I289" t="str" cm="1">
        <f t="array" ref="I289">IFERROR(INDEX(Spreads!A:A,MATCH(1, (Spreads!E:E=G289)*(Spreads!C:C&gt;=F289), 0)),"---")</f>
        <v>GOLD-9.26</v>
      </c>
      <c r="J289" s="40">
        <f>IFERROR(INDEX(Spreads!C:C, MATCH('CME Data'!I289,Spreads!A:A,0)),"---")</f>
        <v>46283</v>
      </c>
      <c r="K289" s="40">
        <f t="shared" si="19"/>
        <v>46234</v>
      </c>
    </row>
    <row r="290" spans="1:11" x14ac:dyDescent="0.2">
      <c r="A290" s="18" t="s">
        <v>379</v>
      </c>
      <c r="B290" s="2">
        <v>45625</v>
      </c>
      <c r="C290" s="2">
        <v>46323</v>
      </c>
      <c r="D290" s="2">
        <v>46323</v>
      </c>
      <c r="E290" s="22">
        <v>46295</v>
      </c>
      <c r="F290" s="2">
        <f t="shared" si="16"/>
        <v>46295</v>
      </c>
      <c r="G290" t="str">
        <f t="shared" si="17"/>
        <v>MGC</v>
      </c>
      <c r="H290" s="35" t="str">
        <f t="shared" si="18"/>
        <v>COMEX_MINI</v>
      </c>
      <c r="I290" t="str" cm="1">
        <f t="array" ref="I290">IFERROR(INDEX(Spreads!A:A,MATCH(1, (Spreads!E:E=G290)*(Spreads!C:C&gt;=F290), 0)),"---")</f>
        <v>GOLD-12.26</v>
      </c>
      <c r="J290" s="40">
        <f>IFERROR(INDEX(Spreads!C:C, MATCH('CME Data'!I290,Spreads!A:A,0)),"---")</f>
        <v>46374</v>
      </c>
      <c r="K290" s="40">
        <f t="shared" si="19"/>
        <v>46295</v>
      </c>
    </row>
    <row r="291" spans="1:11" x14ac:dyDescent="0.2">
      <c r="A291" s="18" t="s">
        <v>380</v>
      </c>
      <c r="B291" s="2">
        <v>45657</v>
      </c>
      <c r="C291" s="2">
        <v>46385</v>
      </c>
      <c r="D291" s="2">
        <v>46385</v>
      </c>
      <c r="E291" s="22">
        <v>46356</v>
      </c>
      <c r="F291" s="2">
        <f t="shared" si="16"/>
        <v>46356</v>
      </c>
      <c r="G291" t="str">
        <f t="shared" si="17"/>
        <v>MGC</v>
      </c>
      <c r="H291" s="35" t="str">
        <f t="shared" si="18"/>
        <v>COMEX_MINI</v>
      </c>
      <c r="I291" t="str" cm="1">
        <f t="array" ref="I291">IFERROR(INDEX(Spreads!A:A,MATCH(1, (Spreads!E:E=G291)*(Spreads!C:C&gt;=F291), 0)),"---")</f>
        <v>GOLD-12.26</v>
      </c>
      <c r="J291" s="40">
        <f>IFERROR(INDEX(Spreads!C:C, MATCH('CME Data'!I291,Spreads!A:A,0)),"---")</f>
        <v>46374</v>
      </c>
      <c r="K291" s="40">
        <f t="shared" si="19"/>
        <v>46356</v>
      </c>
    </row>
    <row r="292" spans="1:11" x14ac:dyDescent="0.2">
      <c r="A292" s="18" t="s">
        <v>381</v>
      </c>
      <c r="B292" s="2">
        <v>45747</v>
      </c>
      <c r="C292" s="2">
        <v>46442</v>
      </c>
      <c r="D292" s="2">
        <v>46442</v>
      </c>
      <c r="E292" s="22">
        <v>46416</v>
      </c>
      <c r="F292" s="2">
        <f t="shared" si="16"/>
        <v>46416</v>
      </c>
      <c r="G292" t="str">
        <f t="shared" si="17"/>
        <v>MGC</v>
      </c>
      <c r="H292" s="35" t="str">
        <f t="shared" si="18"/>
        <v>COMEX_MINI</v>
      </c>
      <c r="I292" t="str" cm="1">
        <f t="array" ref="I292">IFERROR(INDEX(Spreads!A:A,MATCH(1, (Spreads!E:E=G292)*(Spreads!C:C&gt;=F292), 0)),"---")</f>
        <v>---</v>
      </c>
      <c r="J292" s="40" t="str">
        <f>IFERROR(INDEX(Spreads!C:C, MATCH('CME Data'!I292,Spreads!A:A,0)),"---")</f>
        <v>---</v>
      </c>
      <c r="K292" s="40">
        <f t="shared" si="19"/>
        <v>46416</v>
      </c>
    </row>
    <row r="293" spans="1:11" x14ac:dyDescent="0.2">
      <c r="A293" s="18" t="s">
        <v>382</v>
      </c>
      <c r="B293" s="2">
        <v>45807</v>
      </c>
      <c r="C293" s="2">
        <v>46505</v>
      </c>
      <c r="D293" s="2">
        <v>46505</v>
      </c>
      <c r="E293" s="22">
        <v>46477</v>
      </c>
      <c r="F293" s="2">
        <f t="shared" si="16"/>
        <v>46477</v>
      </c>
      <c r="G293" t="str">
        <f t="shared" si="17"/>
        <v>MGC</v>
      </c>
      <c r="H293" s="35" t="str">
        <f t="shared" si="18"/>
        <v>COMEX_MINI</v>
      </c>
      <c r="I293" t="str" cm="1">
        <f t="array" ref="I293">IFERROR(INDEX(Spreads!A:A,MATCH(1, (Spreads!E:E=G293)*(Spreads!C:C&gt;=F293), 0)),"---")</f>
        <v>---</v>
      </c>
      <c r="J293" s="40" t="str">
        <f>IFERROR(INDEX(Spreads!C:C, MATCH('CME Data'!I293,Spreads!A:A,0)),"---")</f>
        <v>---</v>
      </c>
      <c r="K293" s="40">
        <f t="shared" si="19"/>
        <v>46477</v>
      </c>
    </row>
    <row r="294" spans="1:11" x14ac:dyDescent="0.2">
      <c r="A294" s="18" t="s">
        <v>383</v>
      </c>
      <c r="B294" s="2">
        <v>45838</v>
      </c>
      <c r="C294" s="2">
        <v>46566</v>
      </c>
      <c r="D294" s="2">
        <v>46566</v>
      </c>
      <c r="E294" s="22">
        <v>46535</v>
      </c>
      <c r="F294" s="2">
        <f t="shared" si="16"/>
        <v>46535</v>
      </c>
      <c r="G294" t="str">
        <f t="shared" si="17"/>
        <v>MGC</v>
      </c>
      <c r="H294" s="35" t="str">
        <f t="shared" si="18"/>
        <v>COMEX_MINI</v>
      </c>
      <c r="I294" t="str" cm="1">
        <f t="array" ref="I294">IFERROR(INDEX(Spreads!A:A,MATCH(1, (Spreads!E:E=G294)*(Spreads!C:C&gt;=F294), 0)),"---")</f>
        <v>---</v>
      </c>
      <c r="J294" s="40" t="str">
        <f>IFERROR(INDEX(Spreads!C:C, MATCH('CME Data'!I294,Spreads!A:A,0)),"---")</f>
        <v>---</v>
      </c>
      <c r="K294" s="40">
        <f t="shared" si="19"/>
        <v>46535</v>
      </c>
    </row>
    <row r="295" spans="1:11" x14ac:dyDescent="0.2">
      <c r="A295" s="18" t="s">
        <v>384</v>
      </c>
      <c r="B295" s="2">
        <v>45930</v>
      </c>
      <c r="C295" s="2">
        <v>46626</v>
      </c>
      <c r="D295" s="2">
        <v>46626</v>
      </c>
      <c r="E295" s="22">
        <v>46598</v>
      </c>
      <c r="F295" s="2">
        <f t="shared" si="16"/>
        <v>46598</v>
      </c>
      <c r="G295" t="str">
        <f t="shared" si="17"/>
        <v>MGC</v>
      </c>
      <c r="H295" s="35" t="str">
        <f t="shared" si="18"/>
        <v>COMEX_MINI</v>
      </c>
      <c r="I295" t="str" cm="1">
        <f t="array" ref="I295">IFERROR(INDEX(Spreads!A:A,MATCH(1, (Spreads!E:E=G295)*(Spreads!C:C&gt;=F295), 0)),"---")</f>
        <v>---</v>
      </c>
      <c r="J295" s="40" t="str">
        <f>IFERROR(INDEX(Spreads!C:C, MATCH('CME Data'!I295,Spreads!A:A,0)),"---")</f>
        <v>---</v>
      </c>
      <c r="K295" s="40">
        <f t="shared" si="19"/>
        <v>46598</v>
      </c>
    </row>
    <row r="296" spans="1:11" x14ac:dyDescent="0.2">
      <c r="A296" s="18" t="s">
        <v>385</v>
      </c>
      <c r="B296" s="2">
        <v>45989</v>
      </c>
      <c r="C296" s="2">
        <v>46687</v>
      </c>
      <c r="D296" s="2">
        <v>46687</v>
      </c>
      <c r="E296" s="22">
        <v>46660</v>
      </c>
      <c r="F296" s="2">
        <f t="shared" si="16"/>
        <v>46660</v>
      </c>
      <c r="G296" t="str">
        <f t="shared" si="17"/>
        <v>MGC</v>
      </c>
      <c r="H296" s="35" t="str">
        <f t="shared" si="18"/>
        <v>COMEX_MINI</v>
      </c>
      <c r="I296" t="str" cm="1">
        <f t="array" ref="I296">IFERROR(INDEX(Spreads!A:A,MATCH(1, (Spreads!E:E=G296)*(Spreads!C:C&gt;=F296), 0)),"---")</f>
        <v>---</v>
      </c>
      <c r="J296" s="40" t="str">
        <f>IFERROR(INDEX(Spreads!C:C, MATCH('CME Data'!I296,Spreads!A:A,0)),"---")</f>
        <v>---</v>
      </c>
      <c r="K296" s="40">
        <f t="shared" si="19"/>
        <v>46660</v>
      </c>
    </row>
    <row r="297" spans="1:11" x14ac:dyDescent="0.2">
      <c r="A297" s="18" t="s">
        <v>386</v>
      </c>
      <c r="B297" s="2">
        <v>46022</v>
      </c>
      <c r="C297" s="2">
        <v>46750</v>
      </c>
      <c r="D297" s="2">
        <v>46750</v>
      </c>
      <c r="E297" s="22">
        <v>46721</v>
      </c>
      <c r="F297" s="2">
        <f t="shared" si="16"/>
        <v>46721</v>
      </c>
      <c r="G297" t="str">
        <f t="shared" si="17"/>
        <v>MGC</v>
      </c>
      <c r="H297" s="35" t="str">
        <f t="shared" si="18"/>
        <v>COMEX_MINI</v>
      </c>
      <c r="I297" t="str" cm="1">
        <f t="array" ref="I297">IFERROR(INDEX(Spreads!A:A,MATCH(1, (Spreads!E:E=G297)*(Spreads!C:C&gt;=F297), 0)),"---")</f>
        <v>---</v>
      </c>
      <c r="J297" s="40" t="str">
        <f>IFERROR(INDEX(Spreads!C:C, MATCH('CME Data'!I297,Spreads!A:A,0)),"---")</f>
        <v>---</v>
      </c>
      <c r="K297" s="40">
        <f t="shared" si="19"/>
        <v>46721</v>
      </c>
    </row>
    <row r="298" spans="1:11" x14ac:dyDescent="0.2">
      <c r="A298" s="18" t="s">
        <v>387</v>
      </c>
      <c r="B298" s="2">
        <v>46112</v>
      </c>
      <c r="C298" s="2">
        <v>46808</v>
      </c>
      <c r="D298" s="2">
        <v>46808</v>
      </c>
      <c r="E298" s="22">
        <v>46783</v>
      </c>
      <c r="F298" s="2">
        <f t="shared" si="16"/>
        <v>46783</v>
      </c>
      <c r="G298" t="str">
        <f t="shared" si="17"/>
        <v>MGC</v>
      </c>
      <c r="H298" s="35" t="str">
        <f t="shared" si="18"/>
        <v>COMEX_MINI</v>
      </c>
      <c r="I298" t="str" cm="1">
        <f t="array" ref="I298">IFERROR(INDEX(Spreads!A:A,MATCH(1, (Spreads!E:E=G298)*(Spreads!C:C&gt;=F298), 0)),"---")</f>
        <v>---</v>
      </c>
      <c r="J298" s="40" t="str">
        <f>IFERROR(INDEX(Spreads!C:C, MATCH('CME Data'!I298,Spreads!A:A,0)),"---")</f>
        <v>---</v>
      </c>
      <c r="K298" s="40">
        <f t="shared" si="19"/>
        <v>46783</v>
      </c>
    </row>
    <row r="299" spans="1:11" x14ac:dyDescent="0.2">
      <c r="A299" s="18" t="s">
        <v>388</v>
      </c>
      <c r="B299" s="2">
        <v>45412</v>
      </c>
      <c r="C299" s="2">
        <v>46108</v>
      </c>
      <c r="D299" s="2">
        <v>46108</v>
      </c>
      <c r="E299" s="22">
        <v>46080</v>
      </c>
      <c r="F299" s="2">
        <f t="shared" si="16"/>
        <v>46080</v>
      </c>
      <c r="G299" t="str">
        <f t="shared" si="17"/>
        <v>SI</v>
      </c>
      <c r="H299" s="35" t="str">
        <f t="shared" si="18"/>
        <v>COMEX</v>
      </c>
      <c r="I299" t="str" cm="1">
        <f t="array" ref="I299">IFERROR(INDEX(Spreads!A:A,MATCH(1, (Spreads!E:E=G299)*(Spreads!C:C&gt;=F299), 0)),"---")</f>
        <v>SILV-3.26</v>
      </c>
      <c r="J299" s="40">
        <f>IFERROR(INDEX(Spreads!C:C, MATCH('CME Data'!I299,Spreads!A:A,0)),"---")</f>
        <v>46101</v>
      </c>
      <c r="K299" s="40">
        <f t="shared" si="19"/>
        <v>46080</v>
      </c>
    </row>
    <row r="300" spans="1:11" x14ac:dyDescent="0.2">
      <c r="A300" s="18" t="s">
        <v>389</v>
      </c>
      <c r="B300" s="2">
        <v>45698</v>
      </c>
      <c r="C300" s="2">
        <v>46140</v>
      </c>
      <c r="D300" s="2">
        <v>46140</v>
      </c>
      <c r="E300" s="22">
        <v>46112</v>
      </c>
      <c r="F300" s="2">
        <f t="shared" si="16"/>
        <v>46112</v>
      </c>
      <c r="G300" t="str">
        <f t="shared" si="17"/>
        <v>SI</v>
      </c>
      <c r="H300" s="35" t="str">
        <f t="shared" si="18"/>
        <v>COMEX</v>
      </c>
      <c r="I300" t="str" cm="1">
        <f t="array" ref="I300">IFERROR(INDEX(Spreads!A:A,MATCH(1, (Spreads!E:E=G300)*(Spreads!C:C&gt;=F300), 0)),"---")</f>
        <v>SILV-6.26</v>
      </c>
      <c r="J300" s="40">
        <f>IFERROR(INDEX(Spreads!C:C, MATCH('CME Data'!I300,Spreads!A:A,0)),"---")</f>
        <v>46192</v>
      </c>
      <c r="K300" s="40">
        <f t="shared" si="19"/>
        <v>46112</v>
      </c>
    </row>
    <row r="301" spans="1:11" x14ac:dyDescent="0.2">
      <c r="A301" s="18" t="s">
        <v>390</v>
      </c>
      <c r="B301" s="2">
        <v>45471</v>
      </c>
      <c r="C301" s="2">
        <v>46169</v>
      </c>
      <c r="D301" s="2">
        <v>46169</v>
      </c>
      <c r="E301" s="22">
        <v>46142</v>
      </c>
      <c r="F301" s="2">
        <f t="shared" si="16"/>
        <v>46142</v>
      </c>
      <c r="G301" t="str">
        <f t="shared" si="17"/>
        <v>SI</v>
      </c>
      <c r="H301" s="35" t="str">
        <f t="shared" si="18"/>
        <v>COMEX</v>
      </c>
      <c r="I301" t="str" cm="1">
        <f t="array" ref="I301">IFERROR(INDEX(Spreads!A:A,MATCH(1, (Spreads!E:E=G301)*(Spreads!C:C&gt;=F301), 0)),"---")</f>
        <v>SILV-6.26</v>
      </c>
      <c r="J301" s="40">
        <f>IFERROR(INDEX(Spreads!C:C, MATCH('CME Data'!I301,Spreads!A:A,0)),"---")</f>
        <v>46192</v>
      </c>
      <c r="K301" s="40">
        <f t="shared" si="19"/>
        <v>46142</v>
      </c>
    </row>
    <row r="302" spans="1:11" x14ac:dyDescent="0.2">
      <c r="A302" s="18" t="s">
        <v>391</v>
      </c>
      <c r="B302" s="2">
        <v>45698</v>
      </c>
      <c r="C302" s="2">
        <v>46199</v>
      </c>
      <c r="D302" s="2">
        <v>46199</v>
      </c>
      <c r="E302" s="22">
        <v>46171</v>
      </c>
      <c r="F302" s="2">
        <f t="shared" si="16"/>
        <v>46171</v>
      </c>
      <c r="G302" t="str">
        <f t="shared" si="17"/>
        <v>SI</v>
      </c>
      <c r="H302" s="35" t="str">
        <f t="shared" si="18"/>
        <v>COMEX</v>
      </c>
      <c r="I302" t="str" cm="1">
        <f t="array" ref="I302">IFERROR(INDEX(Spreads!A:A,MATCH(1, (Spreads!E:E=G302)*(Spreads!C:C&gt;=F302), 0)),"---")</f>
        <v>SILV-6.26</v>
      </c>
      <c r="J302" s="40">
        <f>IFERROR(INDEX(Spreads!C:C, MATCH('CME Data'!I302,Spreads!A:A,0)),"---")</f>
        <v>46192</v>
      </c>
      <c r="K302" s="40">
        <f t="shared" si="19"/>
        <v>46171</v>
      </c>
    </row>
    <row r="303" spans="1:11" x14ac:dyDescent="0.2">
      <c r="A303" s="18" t="s">
        <v>392</v>
      </c>
      <c r="B303" s="2">
        <v>44407</v>
      </c>
      <c r="C303" s="2">
        <v>46232</v>
      </c>
      <c r="D303" s="2">
        <v>46232</v>
      </c>
      <c r="E303" s="22">
        <v>46203</v>
      </c>
      <c r="F303" s="2">
        <f t="shared" si="16"/>
        <v>46203</v>
      </c>
      <c r="G303" t="str">
        <f t="shared" si="17"/>
        <v>SI</v>
      </c>
      <c r="H303" s="35" t="str">
        <f t="shared" si="18"/>
        <v>COMEX</v>
      </c>
      <c r="I303" t="str" cm="1">
        <f t="array" ref="I303">IFERROR(INDEX(Spreads!A:A,MATCH(1, (Spreads!E:E=G303)*(Spreads!C:C&gt;=F303), 0)),"---")</f>
        <v>SILV-9.26</v>
      </c>
      <c r="J303" s="40">
        <f>IFERROR(INDEX(Spreads!C:C, MATCH('CME Data'!I303,Spreads!A:A,0)),"---")</f>
        <v>46283</v>
      </c>
      <c r="K303" s="40">
        <f t="shared" si="19"/>
        <v>46203</v>
      </c>
    </row>
    <row r="304" spans="1:11" x14ac:dyDescent="0.2">
      <c r="A304" s="18" t="s">
        <v>393</v>
      </c>
      <c r="B304" s="2">
        <v>45698</v>
      </c>
      <c r="C304" s="2">
        <v>46261</v>
      </c>
      <c r="D304" s="2">
        <v>46261</v>
      </c>
      <c r="E304" s="22">
        <v>46234</v>
      </c>
      <c r="F304" s="2">
        <f t="shared" si="16"/>
        <v>46234</v>
      </c>
      <c r="G304" t="str">
        <f t="shared" si="17"/>
        <v>SI</v>
      </c>
      <c r="H304" s="35" t="str">
        <f t="shared" si="18"/>
        <v>COMEX</v>
      </c>
      <c r="I304" t="str" cm="1">
        <f t="array" ref="I304">IFERROR(INDEX(Spreads!A:A,MATCH(1, (Spreads!E:E=G304)*(Spreads!C:C&gt;=F304), 0)),"---")</f>
        <v>SILV-9.26</v>
      </c>
      <c r="J304" s="40">
        <f>IFERROR(INDEX(Spreads!C:C, MATCH('CME Data'!I304,Spreads!A:A,0)),"---")</f>
        <v>46283</v>
      </c>
      <c r="K304" s="40">
        <f t="shared" si="19"/>
        <v>46234</v>
      </c>
    </row>
    <row r="305" spans="1:11" x14ac:dyDescent="0.2">
      <c r="A305" s="18" t="s">
        <v>394</v>
      </c>
      <c r="B305" s="2">
        <v>45596</v>
      </c>
      <c r="C305" s="2">
        <v>46293</v>
      </c>
      <c r="D305" s="2">
        <v>46293</v>
      </c>
      <c r="E305" s="22">
        <v>46265</v>
      </c>
      <c r="F305" s="2">
        <f t="shared" si="16"/>
        <v>46265</v>
      </c>
      <c r="G305" t="str">
        <f t="shared" si="17"/>
        <v>SI</v>
      </c>
      <c r="H305" s="35" t="str">
        <f t="shared" si="18"/>
        <v>COMEX</v>
      </c>
      <c r="I305" t="str" cm="1">
        <f t="array" ref="I305">IFERROR(INDEX(Spreads!A:A,MATCH(1, (Spreads!E:E=G305)*(Spreads!C:C&gt;=F305), 0)),"---")</f>
        <v>SILV-9.26</v>
      </c>
      <c r="J305" s="40">
        <f>IFERROR(INDEX(Spreads!C:C, MATCH('CME Data'!I305,Spreads!A:A,0)),"---")</f>
        <v>46283</v>
      </c>
      <c r="K305" s="40">
        <f t="shared" si="19"/>
        <v>46265</v>
      </c>
    </row>
    <row r="306" spans="1:11" x14ac:dyDescent="0.2">
      <c r="A306" s="18" t="s">
        <v>395</v>
      </c>
      <c r="B306" s="2">
        <v>45698</v>
      </c>
      <c r="C306" s="2">
        <v>46323</v>
      </c>
      <c r="D306" s="2">
        <v>46323</v>
      </c>
      <c r="E306" s="22">
        <v>46295</v>
      </c>
      <c r="F306" s="2">
        <f t="shared" si="16"/>
        <v>46295</v>
      </c>
      <c r="G306" t="str">
        <f t="shared" si="17"/>
        <v>SI</v>
      </c>
      <c r="H306" s="35" t="str">
        <f t="shared" si="18"/>
        <v>COMEX</v>
      </c>
      <c r="I306" t="str" cm="1">
        <f t="array" ref="I306">IFERROR(INDEX(Spreads!A:A,MATCH(1, (Spreads!E:E=G306)*(Spreads!C:C&gt;=F306), 0)),"---")</f>
        <v>SILV-12.26</v>
      </c>
      <c r="J306" s="40">
        <f>IFERROR(INDEX(Spreads!C:C, MATCH('CME Data'!I306,Spreads!A:A,0)),"---")</f>
        <v>46374</v>
      </c>
      <c r="K306" s="40">
        <f t="shared" si="19"/>
        <v>46295</v>
      </c>
    </row>
    <row r="307" spans="1:11" x14ac:dyDescent="0.2">
      <c r="A307" s="18" t="s">
        <v>396</v>
      </c>
      <c r="B307" s="2">
        <v>45698</v>
      </c>
      <c r="C307" s="2">
        <v>46351</v>
      </c>
      <c r="D307" s="2">
        <v>46351</v>
      </c>
      <c r="E307" s="22">
        <v>46325</v>
      </c>
      <c r="F307" s="2">
        <f t="shared" si="16"/>
        <v>46325</v>
      </c>
      <c r="G307" t="str">
        <f t="shared" si="17"/>
        <v>SI</v>
      </c>
      <c r="H307" s="35" t="str">
        <f t="shared" si="18"/>
        <v>COMEX</v>
      </c>
      <c r="I307" t="str" cm="1">
        <f t="array" ref="I307">IFERROR(INDEX(Spreads!A:A,MATCH(1, (Spreads!E:E=G307)*(Spreads!C:C&gt;=F307), 0)),"---")</f>
        <v>SILV-12.26</v>
      </c>
      <c r="J307" s="40">
        <f>IFERROR(INDEX(Spreads!C:C, MATCH('CME Data'!I307,Spreads!A:A,0)),"---")</f>
        <v>46374</v>
      </c>
      <c r="K307" s="40">
        <f t="shared" si="19"/>
        <v>46325</v>
      </c>
    </row>
    <row r="308" spans="1:11" x14ac:dyDescent="0.2">
      <c r="A308" s="18" t="s">
        <v>397</v>
      </c>
      <c r="B308" s="2">
        <v>44561</v>
      </c>
      <c r="C308" s="2">
        <v>46385</v>
      </c>
      <c r="D308" s="2">
        <v>46385</v>
      </c>
      <c r="E308" s="22">
        <v>46356</v>
      </c>
      <c r="F308" s="2">
        <f t="shared" si="16"/>
        <v>46356</v>
      </c>
      <c r="G308" t="str">
        <f t="shared" si="17"/>
        <v>SI</v>
      </c>
      <c r="H308" s="35" t="str">
        <f t="shared" si="18"/>
        <v>COMEX</v>
      </c>
      <c r="I308" t="str" cm="1">
        <f t="array" ref="I308">IFERROR(INDEX(Spreads!A:A,MATCH(1, (Spreads!E:E=G308)*(Spreads!C:C&gt;=F308), 0)),"---")</f>
        <v>SILV-12.26</v>
      </c>
      <c r="J308" s="40">
        <f>IFERROR(INDEX(Spreads!C:C, MATCH('CME Data'!I308,Spreads!A:A,0)),"---")</f>
        <v>46374</v>
      </c>
      <c r="K308" s="40">
        <f t="shared" si="19"/>
        <v>46356</v>
      </c>
    </row>
    <row r="309" spans="1:11" x14ac:dyDescent="0.2">
      <c r="A309" s="18" t="s">
        <v>398</v>
      </c>
      <c r="B309" s="2">
        <v>45698</v>
      </c>
      <c r="C309" s="2">
        <v>46414</v>
      </c>
      <c r="D309" s="2">
        <v>46414</v>
      </c>
      <c r="E309" s="22">
        <v>46387</v>
      </c>
      <c r="F309" s="2">
        <f t="shared" si="16"/>
        <v>46387</v>
      </c>
      <c r="G309" t="str">
        <f t="shared" si="17"/>
        <v>SI</v>
      </c>
      <c r="H309" s="35" t="str">
        <f t="shared" si="18"/>
        <v>COMEX</v>
      </c>
      <c r="I309" t="str" cm="1">
        <f t="array" ref="I309">IFERROR(INDEX(Spreads!A:A,MATCH(1, (Spreads!E:E=G309)*(Spreads!C:C&gt;=F309), 0)),"---")</f>
        <v>---</v>
      </c>
      <c r="J309" s="40" t="str">
        <f>IFERROR(INDEX(Spreads!C:C, MATCH('CME Data'!I309,Spreads!A:A,0)),"---")</f>
        <v>---</v>
      </c>
      <c r="K309" s="40">
        <f t="shared" si="19"/>
        <v>46387</v>
      </c>
    </row>
    <row r="310" spans="1:11" x14ac:dyDescent="0.2">
      <c r="A310" s="18" t="s">
        <v>399</v>
      </c>
      <c r="B310" s="2">
        <v>45715</v>
      </c>
      <c r="C310" s="2">
        <v>46442</v>
      </c>
      <c r="D310" s="2">
        <v>46442</v>
      </c>
      <c r="E310" s="22">
        <v>46416</v>
      </c>
      <c r="F310" s="2">
        <f t="shared" si="16"/>
        <v>46416</v>
      </c>
      <c r="G310" t="str">
        <f t="shared" si="17"/>
        <v>SI</v>
      </c>
      <c r="H310" s="35" t="str">
        <f t="shared" si="18"/>
        <v>COMEX</v>
      </c>
      <c r="I310" t="str" cm="1">
        <f t="array" ref="I310">IFERROR(INDEX(Spreads!A:A,MATCH(1, (Spreads!E:E=G310)*(Spreads!C:C&gt;=F310), 0)),"---")</f>
        <v>---</v>
      </c>
      <c r="J310" s="40" t="str">
        <f>IFERROR(INDEX(Spreads!C:C, MATCH('CME Data'!I310,Spreads!A:A,0)),"---")</f>
        <v>---</v>
      </c>
      <c r="K310" s="40">
        <f t="shared" si="19"/>
        <v>46416</v>
      </c>
    </row>
    <row r="311" spans="1:11" x14ac:dyDescent="0.2">
      <c r="A311" s="18" t="s">
        <v>400</v>
      </c>
      <c r="B311" s="2">
        <v>45744</v>
      </c>
      <c r="C311" s="2">
        <v>46475</v>
      </c>
      <c r="D311" s="2">
        <v>46475</v>
      </c>
      <c r="E311" s="22">
        <v>46444</v>
      </c>
      <c r="F311" s="2">
        <f t="shared" si="16"/>
        <v>46444</v>
      </c>
      <c r="G311" t="str">
        <f t="shared" si="17"/>
        <v>SI</v>
      </c>
      <c r="H311" s="35" t="str">
        <f t="shared" si="18"/>
        <v>COMEX</v>
      </c>
      <c r="I311" t="str" cm="1">
        <f t="array" ref="I311">IFERROR(INDEX(Spreads!A:A,MATCH(1, (Spreads!E:E=G311)*(Spreads!C:C&gt;=F311), 0)),"---")</f>
        <v>---</v>
      </c>
      <c r="J311" s="40" t="str">
        <f>IFERROR(INDEX(Spreads!C:C, MATCH('CME Data'!I311,Spreads!A:A,0)),"---")</f>
        <v>---</v>
      </c>
      <c r="K311" s="40">
        <f t="shared" si="19"/>
        <v>46444</v>
      </c>
    </row>
    <row r="312" spans="1:11" x14ac:dyDescent="0.2">
      <c r="A312" s="18" t="s">
        <v>401</v>
      </c>
      <c r="B312" s="2">
        <v>45761</v>
      </c>
      <c r="C312" s="2">
        <v>46505</v>
      </c>
      <c r="D312" s="2">
        <v>46505</v>
      </c>
      <c r="E312" s="22">
        <v>46477</v>
      </c>
      <c r="F312" s="2">
        <f t="shared" si="16"/>
        <v>46477</v>
      </c>
      <c r="G312" t="str">
        <f t="shared" si="17"/>
        <v>SI</v>
      </c>
      <c r="H312" s="35" t="str">
        <f t="shared" si="18"/>
        <v>COMEX</v>
      </c>
      <c r="I312" t="str" cm="1">
        <f t="array" ref="I312">IFERROR(INDEX(Spreads!A:A,MATCH(1, (Spreads!E:E=G312)*(Spreads!C:C&gt;=F312), 0)),"---")</f>
        <v>---</v>
      </c>
      <c r="J312" s="40" t="str">
        <f>IFERROR(INDEX(Spreads!C:C, MATCH('CME Data'!I312,Spreads!A:A,0)),"---")</f>
        <v>---</v>
      </c>
      <c r="K312" s="40">
        <f t="shared" si="19"/>
        <v>46477</v>
      </c>
    </row>
    <row r="313" spans="1:11" x14ac:dyDescent="0.2">
      <c r="A313" s="18" t="s">
        <v>402</v>
      </c>
      <c r="B313" s="2">
        <v>45761</v>
      </c>
      <c r="C313" s="2">
        <v>46533</v>
      </c>
      <c r="D313" s="2">
        <v>46533</v>
      </c>
      <c r="E313" s="22">
        <v>46507</v>
      </c>
      <c r="F313" s="2">
        <f t="shared" si="16"/>
        <v>46507</v>
      </c>
      <c r="G313" t="str">
        <f t="shared" si="17"/>
        <v>SI</v>
      </c>
      <c r="H313" s="35" t="str">
        <f t="shared" si="18"/>
        <v>COMEX</v>
      </c>
      <c r="I313" t="str" cm="1">
        <f t="array" ref="I313">IFERROR(INDEX(Spreads!A:A,MATCH(1, (Spreads!E:E=G313)*(Spreads!C:C&gt;=F313), 0)),"---")</f>
        <v>---</v>
      </c>
      <c r="J313" s="40" t="str">
        <f>IFERROR(INDEX(Spreads!C:C, MATCH('CME Data'!I313,Spreads!A:A,0)),"---")</f>
        <v>---</v>
      </c>
      <c r="K313" s="40">
        <f t="shared" si="19"/>
        <v>46507</v>
      </c>
    </row>
    <row r="314" spans="1:11" x14ac:dyDescent="0.2">
      <c r="A314" s="18" t="s">
        <v>403</v>
      </c>
      <c r="B314" s="2">
        <v>45776</v>
      </c>
      <c r="C314" s="2">
        <v>46566</v>
      </c>
      <c r="D314" s="2">
        <v>46566</v>
      </c>
      <c r="E314" s="22">
        <v>46535</v>
      </c>
      <c r="F314" s="2">
        <f t="shared" si="16"/>
        <v>46535</v>
      </c>
      <c r="G314" t="str">
        <f t="shared" si="17"/>
        <v>SI</v>
      </c>
      <c r="H314" s="35" t="str">
        <f t="shared" si="18"/>
        <v>COMEX</v>
      </c>
      <c r="I314" t="str" cm="1">
        <f t="array" ref="I314">IFERROR(INDEX(Spreads!A:A,MATCH(1, (Spreads!E:E=G314)*(Spreads!C:C&gt;=F314), 0)),"---")</f>
        <v>---</v>
      </c>
      <c r="J314" s="40" t="str">
        <f>IFERROR(INDEX(Spreads!C:C, MATCH('CME Data'!I314,Spreads!A:A,0)),"---")</f>
        <v>---</v>
      </c>
      <c r="K314" s="40">
        <f t="shared" si="19"/>
        <v>46535</v>
      </c>
    </row>
    <row r="315" spans="1:11" x14ac:dyDescent="0.2">
      <c r="A315" s="18" t="s">
        <v>404</v>
      </c>
      <c r="B315" s="2">
        <v>44771</v>
      </c>
      <c r="C315" s="2">
        <v>46596</v>
      </c>
      <c r="D315" s="2">
        <v>46596</v>
      </c>
      <c r="E315" s="22">
        <v>46568</v>
      </c>
      <c r="F315" s="2">
        <f t="shared" si="16"/>
        <v>46568</v>
      </c>
      <c r="G315" t="str">
        <f t="shared" si="17"/>
        <v>SI</v>
      </c>
      <c r="H315" s="35" t="str">
        <f t="shared" si="18"/>
        <v>COMEX</v>
      </c>
      <c r="I315" t="str" cm="1">
        <f t="array" ref="I315">IFERROR(INDEX(Spreads!A:A,MATCH(1, (Spreads!E:E=G315)*(Spreads!C:C&gt;=F315), 0)),"---")</f>
        <v>---</v>
      </c>
      <c r="J315" s="40" t="str">
        <f>IFERROR(INDEX(Spreads!C:C, MATCH('CME Data'!I315,Spreads!A:A,0)),"---")</f>
        <v>---</v>
      </c>
      <c r="K315" s="40">
        <f t="shared" si="19"/>
        <v>46568</v>
      </c>
    </row>
    <row r="316" spans="1:11" x14ac:dyDescent="0.2">
      <c r="A316" s="18" t="s">
        <v>405</v>
      </c>
      <c r="B316" s="2">
        <v>45835</v>
      </c>
      <c r="C316" s="2">
        <v>46626</v>
      </c>
      <c r="D316" s="2">
        <v>46626</v>
      </c>
      <c r="E316" s="22">
        <v>46598</v>
      </c>
      <c r="F316" s="2">
        <f t="shared" si="16"/>
        <v>46598</v>
      </c>
      <c r="G316" t="str">
        <f t="shared" si="17"/>
        <v>SI</v>
      </c>
      <c r="H316" s="35" t="str">
        <f t="shared" si="18"/>
        <v>COMEX</v>
      </c>
      <c r="I316" t="str" cm="1">
        <f t="array" ref="I316">IFERROR(INDEX(Spreads!A:A,MATCH(1, (Spreads!E:E=G316)*(Spreads!C:C&gt;=F316), 0)),"---")</f>
        <v>---</v>
      </c>
      <c r="J316" s="40" t="str">
        <f>IFERROR(INDEX(Spreads!C:C, MATCH('CME Data'!I316,Spreads!A:A,0)),"---")</f>
        <v>---</v>
      </c>
      <c r="K316" s="40">
        <f t="shared" si="19"/>
        <v>46598</v>
      </c>
    </row>
    <row r="317" spans="1:11" x14ac:dyDescent="0.2">
      <c r="A317" s="18" t="s">
        <v>406</v>
      </c>
      <c r="B317" s="2">
        <v>45868</v>
      </c>
      <c r="C317" s="2">
        <v>46658</v>
      </c>
      <c r="D317" s="2">
        <v>46658</v>
      </c>
      <c r="E317" s="22">
        <v>46630</v>
      </c>
      <c r="F317" s="2">
        <f t="shared" si="16"/>
        <v>46630</v>
      </c>
      <c r="G317" t="str">
        <f t="shared" si="17"/>
        <v>SI</v>
      </c>
      <c r="H317" s="35" t="str">
        <f t="shared" si="18"/>
        <v>COMEX</v>
      </c>
      <c r="I317" t="str" cm="1">
        <f t="array" ref="I317">IFERROR(INDEX(Spreads!A:A,MATCH(1, (Spreads!E:E=G317)*(Spreads!C:C&gt;=F317), 0)),"---")</f>
        <v>---</v>
      </c>
      <c r="J317" s="40" t="str">
        <f>IFERROR(INDEX(Spreads!C:C, MATCH('CME Data'!I317,Spreads!A:A,0)),"---")</f>
        <v>---</v>
      </c>
      <c r="K317" s="40">
        <f t="shared" si="19"/>
        <v>46630</v>
      </c>
    </row>
    <row r="318" spans="1:11" x14ac:dyDescent="0.2">
      <c r="A318" s="18" t="s">
        <v>407</v>
      </c>
      <c r="B318" s="2">
        <v>45897</v>
      </c>
      <c r="C318" s="2">
        <v>46687</v>
      </c>
      <c r="D318" s="2">
        <v>46687</v>
      </c>
      <c r="E318" s="22">
        <v>46660</v>
      </c>
      <c r="F318" s="2">
        <f t="shared" si="16"/>
        <v>46660</v>
      </c>
      <c r="G318" t="str">
        <f t="shared" si="17"/>
        <v>SI</v>
      </c>
      <c r="H318" s="35" t="str">
        <f t="shared" si="18"/>
        <v>COMEX</v>
      </c>
      <c r="I318" t="str" cm="1">
        <f t="array" ref="I318">IFERROR(INDEX(Spreads!A:A,MATCH(1, (Spreads!E:E=G318)*(Spreads!C:C&gt;=F318), 0)),"---")</f>
        <v>---</v>
      </c>
      <c r="J318" s="40" t="str">
        <f>IFERROR(INDEX(Spreads!C:C, MATCH('CME Data'!I318,Spreads!A:A,0)),"---")</f>
        <v>---</v>
      </c>
      <c r="K318" s="40">
        <f t="shared" si="19"/>
        <v>46660</v>
      </c>
    </row>
    <row r="319" spans="1:11" x14ac:dyDescent="0.2">
      <c r="A319" s="18" t="s">
        <v>408</v>
      </c>
      <c r="B319" s="2">
        <v>45929</v>
      </c>
      <c r="C319" s="2">
        <v>46717</v>
      </c>
      <c r="D319" s="2">
        <v>46717</v>
      </c>
      <c r="E319" s="22">
        <v>46689</v>
      </c>
      <c r="F319" s="2">
        <f t="shared" si="16"/>
        <v>46689</v>
      </c>
      <c r="G319" t="str">
        <f t="shared" si="17"/>
        <v>SI</v>
      </c>
      <c r="H319" s="35" t="str">
        <f t="shared" si="18"/>
        <v>COMEX</v>
      </c>
      <c r="I319" t="str" cm="1">
        <f t="array" ref="I319">IFERROR(INDEX(Spreads!A:A,MATCH(1, (Spreads!E:E=G319)*(Spreads!C:C&gt;=F319), 0)),"---")</f>
        <v>---</v>
      </c>
      <c r="J319" s="40" t="str">
        <f>IFERROR(INDEX(Spreads!C:C, MATCH('CME Data'!I319,Spreads!A:A,0)),"---")</f>
        <v>---</v>
      </c>
      <c r="K319" s="40">
        <f t="shared" si="19"/>
        <v>46689</v>
      </c>
    </row>
    <row r="320" spans="1:11" x14ac:dyDescent="0.2">
      <c r="A320" s="18" t="s">
        <v>409</v>
      </c>
      <c r="B320" s="2">
        <v>44925</v>
      </c>
      <c r="C320" s="2">
        <v>46750</v>
      </c>
      <c r="D320" s="2">
        <v>46750</v>
      </c>
      <c r="E320" s="22">
        <v>46721</v>
      </c>
      <c r="F320" s="2">
        <f t="shared" si="16"/>
        <v>46721</v>
      </c>
      <c r="G320" t="str">
        <f t="shared" si="17"/>
        <v>SI</v>
      </c>
      <c r="H320" s="35" t="str">
        <f t="shared" si="18"/>
        <v>COMEX</v>
      </c>
      <c r="I320" t="str" cm="1">
        <f t="array" ref="I320">IFERROR(INDEX(Spreads!A:A,MATCH(1, (Spreads!E:E=G320)*(Spreads!C:C&gt;=F320), 0)),"---")</f>
        <v>---</v>
      </c>
      <c r="J320" s="40" t="str">
        <f>IFERROR(INDEX(Spreads!C:C, MATCH('CME Data'!I320,Spreads!A:A,0)),"---")</f>
        <v>---</v>
      </c>
      <c r="K320" s="40">
        <f t="shared" si="19"/>
        <v>46721</v>
      </c>
    </row>
    <row r="321" spans="1:11" x14ac:dyDescent="0.2">
      <c r="A321" s="18" t="s">
        <v>410</v>
      </c>
      <c r="B321" s="2">
        <v>45987</v>
      </c>
      <c r="C321" s="2">
        <v>46779</v>
      </c>
      <c r="D321" s="2">
        <v>46779</v>
      </c>
      <c r="E321" s="22">
        <v>46752</v>
      </c>
      <c r="F321" s="2">
        <f t="shared" ref="F321:F380" si="20">MIN(C321:E321)</f>
        <v>46752</v>
      </c>
      <c r="G321" t="str">
        <f t="shared" ref="G321:G380" si="21">MID(A321,1,LEN(A321)-3)</f>
        <v>SI</v>
      </c>
      <c r="H321" s="35" t="str">
        <f t="shared" si="18"/>
        <v>COMEX</v>
      </c>
      <c r="I321" t="str" cm="1">
        <f t="array" ref="I321">IFERROR(INDEX(Spreads!A:A,MATCH(1, (Spreads!E:E=G321)*(Spreads!C:C&gt;=F321), 0)),"---")</f>
        <v>---</v>
      </c>
      <c r="J321" s="40" t="str">
        <f>IFERROR(INDEX(Spreads!C:C, MATCH('CME Data'!I321,Spreads!A:A,0)),"---")</f>
        <v>---</v>
      </c>
      <c r="K321" s="40">
        <f t="shared" si="19"/>
        <v>46752</v>
      </c>
    </row>
    <row r="322" spans="1:11" x14ac:dyDescent="0.2">
      <c r="A322" s="18" t="s">
        <v>411</v>
      </c>
      <c r="B322" s="2">
        <v>46021</v>
      </c>
      <c r="C322" s="2">
        <v>46808</v>
      </c>
      <c r="D322" s="2">
        <v>46808</v>
      </c>
      <c r="E322" s="22">
        <v>46783</v>
      </c>
      <c r="F322" s="2">
        <f t="shared" si="20"/>
        <v>46783</v>
      </c>
      <c r="G322" t="str">
        <f t="shared" si="21"/>
        <v>SI</v>
      </c>
      <c r="H322" s="35" t="str">
        <f t="shared" si="18"/>
        <v>COMEX</v>
      </c>
      <c r="I322" t="str" cm="1">
        <f t="array" ref="I322">IFERROR(INDEX(Spreads!A:A,MATCH(1, (Spreads!E:E=G322)*(Spreads!C:C&gt;=F322), 0)),"---")</f>
        <v>---</v>
      </c>
      <c r="J322" s="40" t="str">
        <f>IFERROR(INDEX(Spreads!C:C, MATCH('CME Data'!I322,Spreads!A:A,0)),"---")</f>
        <v>---</v>
      </c>
      <c r="K322" s="40">
        <f t="shared" si="19"/>
        <v>46783</v>
      </c>
    </row>
    <row r="323" spans="1:11" x14ac:dyDescent="0.2">
      <c r="A323" s="18" t="s">
        <v>412</v>
      </c>
      <c r="B323" s="2">
        <v>46051</v>
      </c>
      <c r="C323" s="2">
        <v>46841</v>
      </c>
      <c r="D323" s="2">
        <v>46841</v>
      </c>
      <c r="E323" s="22">
        <v>46812</v>
      </c>
      <c r="F323" s="2">
        <f t="shared" si="20"/>
        <v>46812</v>
      </c>
      <c r="G323" t="str">
        <f t="shared" si="21"/>
        <v>SI</v>
      </c>
      <c r="H323" s="35" t="str">
        <f t="shared" ref="H323:H386" si="22">IFERROR(INDEX(O:O, MATCH(G323,N:N,0)),"---")</f>
        <v>COMEX</v>
      </c>
      <c r="I323" t="str" cm="1">
        <f t="array" ref="I323">IFERROR(INDEX(Spreads!A:A,MATCH(1, (Spreads!E:E=G323)*(Spreads!C:C&gt;=F323), 0)),"---")</f>
        <v>---</v>
      </c>
      <c r="J323" s="40" t="str">
        <f>IFERROR(INDEX(Spreads!C:C, MATCH('CME Data'!I323,Spreads!A:A,0)),"---")</f>
        <v>---</v>
      </c>
      <c r="K323" s="40">
        <f t="shared" si="19"/>
        <v>46812</v>
      </c>
    </row>
    <row r="324" spans="1:11" x14ac:dyDescent="0.2">
      <c r="A324" s="18" t="s">
        <v>413</v>
      </c>
      <c r="B324" s="2">
        <v>46079</v>
      </c>
      <c r="C324" s="2">
        <v>46869</v>
      </c>
      <c r="D324" s="2">
        <v>46869</v>
      </c>
      <c r="E324" s="22">
        <v>46843</v>
      </c>
      <c r="F324" s="2">
        <f t="shared" si="20"/>
        <v>46843</v>
      </c>
      <c r="G324" t="str">
        <f t="shared" si="21"/>
        <v>SI</v>
      </c>
      <c r="H324" s="35" t="str">
        <f t="shared" si="22"/>
        <v>COMEX</v>
      </c>
      <c r="I324" t="str" cm="1">
        <f t="array" ref="I324">IFERROR(INDEX(Spreads!A:A,MATCH(1, (Spreads!E:E=G324)*(Spreads!C:C&gt;=F324), 0)),"---")</f>
        <v>---</v>
      </c>
      <c r="J324" s="40" t="str">
        <f>IFERROR(INDEX(Spreads!C:C, MATCH('CME Data'!I324,Spreads!A:A,0)),"---")</f>
        <v>---</v>
      </c>
      <c r="K324" s="40">
        <f t="shared" ref="K324:K387" si="23">MIN(J324,F324)</f>
        <v>46843</v>
      </c>
    </row>
    <row r="325" spans="1:11" x14ac:dyDescent="0.2">
      <c r="A325" s="18" t="s">
        <v>414</v>
      </c>
      <c r="B325" s="2">
        <v>46111</v>
      </c>
      <c r="C325" s="2">
        <v>46899</v>
      </c>
      <c r="D325" s="2">
        <v>46899</v>
      </c>
      <c r="E325" s="22">
        <v>46871</v>
      </c>
      <c r="F325" s="2">
        <f t="shared" si="20"/>
        <v>46871</v>
      </c>
      <c r="G325" t="str">
        <f t="shared" si="21"/>
        <v>SI</v>
      </c>
      <c r="H325" s="35" t="str">
        <f t="shared" si="22"/>
        <v>COMEX</v>
      </c>
      <c r="I325" t="str" cm="1">
        <f t="array" ref="I325">IFERROR(INDEX(Spreads!A:A,MATCH(1, (Spreads!E:E=G325)*(Spreads!C:C&gt;=F325), 0)),"---")</f>
        <v>---</v>
      </c>
      <c r="J325" s="40" t="str">
        <f>IFERROR(INDEX(Spreads!C:C, MATCH('CME Data'!I325,Spreads!A:A,0)),"---")</f>
        <v>---</v>
      </c>
      <c r="K325" s="40">
        <f t="shared" si="23"/>
        <v>46871</v>
      </c>
    </row>
    <row r="326" spans="1:11" x14ac:dyDescent="0.2">
      <c r="A326" s="18" t="s">
        <v>415</v>
      </c>
      <c r="B326" s="2">
        <v>45138</v>
      </c>
      <c r="C326" s="2">
        <v>46961</v>
      </c>
      <c r="D326" s="2">
        <v>46961</v>
      </c>
      <c r="E326" s="22">
        <v>46934</v>
      </c>
      <c r="F326" s="2">
        <f t="shared" si="20"/>
        <v>46934</v>
      </c>
      <c r="G326" t="str">
        <f t="shared" si="21"/>
        <v>SI</v>
      </c>
      <c r="H326" s="35" t="str">
        <f t="shared" si="22"/>
        <v>COMEX</v>
      </c>
      <c r="I326" t="str" cm="1">
        <f t="array" ref="I326">IFERROR(INDEX(Spreads!A:A,MATCH(1, (Spreads!E:E=G326)*(Spreads!C:C&gt;=F326), 0)),"---")</f>
        <v>---</v>
      </c>
      <c r="J326" s="40" t="str">
        <f>IFERROR(INDEX(Spreads!C:C, MATCH('CME Data'!I326,Spreads!A:A,0)),"---")</f>
        <v>---</v>
      </c>
      <c r="K326" s="40">
        <f t="shared" si="23"/>
        <v>46934</v>
      </c>
    </row>
    <row r="327" spans="1:11" x14ac:dyDescent="0.2">
      <c r="A327" s="18" t="s">
        <v>416</v>
      </c>
      <c r="B327" s="2">
        <v>45289</v>
      </c>
      <c r="C327" s="2">
        <v>47114</v>
      </c>
      <c r="D327" s="2">
        <v>47114</v>
      </c>
      <c r="E327" s="22">
        <v>47087</v>
      </c>
      <c r="F327" s="2">
        <f t="shared" si="20"/>
        <v>47087</v>
      </c>
      <c r="G327" t="str">
        <f t="shared" si="21"/>
        <v>SI</v>
      </c>
      <c r="H327" s="35" t="str">
        <f t="shared" si="22"/>
        <v>COMEX</v>
      </c>
      <c r="I327" t="str" cm="1">
        <f t="array" ref="I327">IFERROR(INDEX(Spreads!A:A,MATCH(1, (Spreads!E:E=G327)*(Spreads!C:C&gt;=F327), 0)),"---")</f>
        <v>---</v>
      </c>
      <c r="J327" s="40" t="str">
        <f>IFERROR(INDEX(Spreads!C:C, MATCH('CME Data'!I327,Spreads!A:A,0)),"---")</f>
        <v>---</v>
      </c>
      <c r="K327" s="40">
        <f t="shared" si="23"/>
        <v>47087</v>
      </c>
    </row>
    <row r="328" spans="1:11" x14ac:dyDescent="0.2">
      <c r="A328" s="18" t="s">
        <v>417</v>
      </c>
      <c r="B328" s="2">
        <v>45504</v>
      </c>
      <c r="C328" s="2">
        <v>47326</v>
      </c>
      <c r="D328" s="2">
        <v>47326</v>
      </c>
      <c r="E328" s="22">
        <v>47298</v>
      </c>
      <c r="F328" s="2">
        <f t="shared" si="20"/>
        <v>47298</v>
      </c>
      <c r="G328" t="str">
        <f t="shared" si="21"/>
        <v>SI</v>
      </c>
      <c r="H328" s="35" t="str">
        <f t="shared" si="22"/>
        <v>COMEX</v>
      </c>
      <c r="I328" t="str" cm="1">
        <f t="array" ref="I328">IFERROR(INDEX(Spreads!A:A,MATCH(1, (Spreads!E:E=G328)*(Spreads!C:C&gt;=F328), 0)),"---")</f>
        <v>---</v>
      </c>
      <c r="J328" s="40" t="str">
        <f>IFERROR(INDEX(Spreads!C:C, MATCH('CME Data'!I328,Spreads!A:A,0)),"---")</f>
        <v>---</v>
      </c>
      <c r="K328" s="40">
        <f t="shared" si="23"/>
        <v>47298</v>
      </c>
    </row>
    <row r="329" spans="1:11" x14ac:dyDescent="0.2">
      <c r="A329" s="18" t="s">
        <v>418</v>
      </c>
      <c r="B329" s="2">
        <v>45657</v>
      </c>
      <c r="C329" s="2">
        <v>47479</v>
      </c>
      <c r="D329" s="2">
        <v>47479</v>
      </c>
      <c r="E329" s="22">
        <v>47452</v>
      </c>
      <c r="F329" s="2">
        <f t="shared" si="20"/>
        <v>47452</v>
      </c>
      <c r="G329" t="str">
        <f t="shared" si="21"/>
        <v>SI</v>
      </c>
      <c r="H329" s="35" t="str">
        <f t="shared" si="22"/>
        <v>COMEX</v>
      </c>
      <c r="I329" t="str" cm="1">
        <f t="array" ref="I329">IFERROR(INDEX(Spreads!A:A,MATCH(1, (Spreads!E:E=G329)*(Spreads!C:C&gt;=F329), 0)),"---")</f>
        <v>---</v>
      </c>
      <c r="J329" s="40" t="str">
        <f>IFERROR(INDEX(Spreads!C:C, MATCH('CME Data'!I329,Spreads!A:A,0)),"---")</f>
        <v>---</v>
      </c>
      <c r="K329" s="40">
        <f t="shared" si="23"/>
        <v>47452</v>
      </c>
    </row>
    <row r="330" spans="1:11" x14ac:dyDescent="0.2">
      <c r="A330" s="18" t="s">
        <v>419</v>
      </c>
      <c r="B330" s="2">
        <v>45868</v>
      </c>
      <c r="C330" s="2">
        <v>47693</v>
      </c>
      <c r="D330" s="2">
        <v>47693</v>
      </c>
      <c r="E330" s="22">
        <v>47662</v>
      </c>
      <c r="F330" s="2">
        <f t="shared" si="20"/>
        <v>47662</v>
      </c>
      <c r="G330" t="str">
        <f t="shared" si="21"/>
        <v>SI</v>
      </c>
      <c r="H330" s="35" t="str">
        <f t="shared" si="22"/>
        <v>COMEX</v>
      </c>
      <c r="I330" t="str" cm="1">
        <f t="array" ref="I330">IFERROR(INDEX(Spreads!A:A,MATCH(1, (Spreads!E:E=G330)*(Spreads!C:C&gt;=F330), 0)),"---")</f>
        <v>---</v>
      </c>
      <c r="J330" s="40" t="str">
        <f>IFERROR(INDEX(Spreads!C:C, MATCH('CME Data'!I330,Spreads!A:A,0)),"---")</f>
        <v>---</v>
      </c>
      <c r="K330" s="40">
        <f t="shared" si="23"/>
        <v>47662</v>
      </c>
    </row>
    <row r="331" spans="1:11" x14ac:dyDescent="0.2">
      <c r="A331" s="18" t="s">
        <v>420</v>
      </c>
      <c r="B331" s="2">
        <v>46021</v>
      </c>
      <c r="C331" s="2">
        <v>47844</v>
      </c>
      <c r="D331" s="2">
        <v>47844</v>
      </c>
      <c r="E331" s="22">
        <v>47816</v>
      </c>
      <c r="F331" s="2">
        <f t="shared" si="20"/>
        <v>47816</v>
      </c>
      <c r="G331" t="str">
        <f t="shared" si="21"/>
        <v>SI</v>
      </c>
      <c r="H331" s="35" t="str">
        <f t="shared" si="22"/>
        <v>COMEX</v>
      </c>
      <c r="I331" t="str" cm="1">
        <f t="array" ref="I331">IFERROR(INDEX(Spreads!A:A,MATCH(1, (Spreads!E:E=G331)*(Spreads!C:C&gt;=F331), 0)),"---")</f>
        <v>---</v>
      </c>
      <c r="J331" s="40" t="str">
        <f>IFERROR(INDEX(Spreads!C:C, MATCH('CME Data'!I331,Spreads!A:A,0)),"---")</f>
        <v>---</v>
      </c>
      <c r="K331" s="40">
        <f t="shared" si="23"/>
        <v>47816</v>
      </c>
    </row>
    <row r="332" spans="1:11" x14ac:dyDescent="0.2">
      <c r="A332" s="18" t="s">
        <v>423</v>
      </c>
      <c r="B332" s="2">
        <v>45747</v>
      </c>
      <c r="C332" s="2">
        <v>46108</v>
      </c>
      <c r="D332" s="2">
        <v>46108</v>
      </c>
      <c r="E332" s="22">
        <v>46080</v>
      </c>
      <c r="F332" s="2">
        <f t="shared" si="20"/>
        <v>46080</v>
      </c>
      <c r="G332" t="str">
        <f t="shared" si="21"/>
        <v>SIL</v>
      </c>
      <c r="H332" s="35" t="str">
        <f t="shared" si="22"/>
        <v>COMEX_MINI</v>
      </c>
      <c r="I332" t="str" cm="1">
        <f t="array" ref="I332">IFERROR(INDEX(Spreads!A:A,MATCH(1, (Spreads!E:E=G332)*(Spreads!C:C&gt;=F332), 0)),"---")</f>
        <v>SILV-3.26</v>
      </c>
      <c r="J332" s="40">
        <f>IFERROR(INDEX(Spreads!C:C, MATCH('CME Data'!I332,Spreads!A:A,0)),"---")</f>
        <v>46101</v>
      </c>
      <c r="K332" s="40">
        <f t="shared" si="23"/>
        <v>46080</v>
      </c>
    </row>
    <row r="333" spans="1:11" x14ac:dyDescent="0.2">
      <c r="A333" s="18" t="s">
        <v>424</v>
      </c>
      <c r="B333" s="2">
        <v>46052</v>
      </c>
      <c r="C333" s="2">
        <v>46140</v>
      </c>
      <c r="D333" s="2">
        <v>46140</v>
      </c>
      <c r="E333" s="22">
        <v>46112</v>
      </c>
      <c r="F333" s="2">
        <f t="shared" si="20"/>
        <v>46112</v>
      </c>
      <c r="G333" t="str">
        <f t="shared" si="21"/>
        <v>SIL</v>
      </c>
      <c r="H333" s="35" t="str">
        <f t="shared" si="22"/>
        <v>COMEX_MINI</v>
      </c>
      <c r="I333" t="str" cm="1">
        <f t="array" ref="I333">IFERROR(INDEX(Spreads!A:A,MATCH(1, (Spreads!E:E=G333)*(Spreads!C:C&gt;=F333), 0)),"---")</f>
        <v>SILV-6.26</v>
      </c>
      <c r="J333" s="40">
        <f>IFERROR(INDEX(Spreads!C:C, MATCH('CME Data'!I333,Spreads!A:A,0)),"---")</f>
        <v>46192</v>
      </c>
      <c r="K333" s="40">
        <f t="shared" si="23"/>
        <v>46112</v>
      </c>
    </row>
    <row r="334" spans="1:11" x14ac:dyDescent="0.2">
      <c r="A334" s="18" t="s">
        <v>425</v>
      </c>
      <c r="B334" s="2">
        <v>45807</v>
      </c>
      <c r="C334" s="2">
        <v>46169</v>
      </c>
      <c r="D334" s="2">
        <v>46169</v>
      </c>
      <c r="E334" s="22">
        <v>46142</v>
      </c>
      <c r="F334" s="2">
        <f t="shared" si="20"/>
        <v>46142</v>
      </c>
      <c r="G334" t="str">
        <f t="shared" si="21"/>
        <v>SIL</v>
      </c>
      <c r="H334" s="35" t="str">
        <f t="shared" si="22"/>
        <v>COMEX_MINI</v>
      </c>
      <c r="I334" t="str" cm="1">
        <f t="array" ref="I334">IFERROR(INDEX(Spreads!A:A,MATCH(1, (Spreads!E:E=G334)*(Spreads!C:C&gt;=F334), 0)),"---")</f>
        <v>SILV-6.26</v>
      </c>
      <c r="J334" s="40">
        <f>IFERROR(INDEX(Spreads!C:C, MATCH('CME Data'!I334,Spreads!A:A,0)),"---")</f>
        <v>46192</v>
      </c>
      <c r="K334" s="40">
        <f t="shared" si="23"/>
        <v>46142</v>
      </c>
    </row>
    <row r="335" spans="1:11" x14ac:dyDescent="0.2">
      <c r="A335" s="18" t="s">
        <v>426</v>
      </c>
      <c r="B335" s="2">
        <v>46112</v>
      </c>
      <c r="C335" s="2">
        <v>46199</v>
      </c>
      <c r="D335" s="2">
        <v>46199</v>
      </c>
      <c r="E335" s="22">
        <v>46171</v>
      </c>
      <c r="F335" s="2">
        <f t="shared" si="20"/>
        <v>46171</v>
      </c>
      <c r="G335" t="str">
        <f t="shared" si="21"/>
        <v>SIL</v>
      </c>
      <c r="H335" s="35" t="str">
        <f t="shared" si="22"/>
        <v>COMEX_MINI</v>
      </c>
      <c r="I335" t="str" cm="1">
        <f t="array" ref="I335">IFERROR(INDEX(Spreads!A:A,MATCH(1, (Spreads!E:E=G335)*(Spreads!C:C&gt;=F335), 0)),"---")</f>
        <v>SILV-6.26</v>
      </c>
      <c r="J335" s="40">
        <f>IFERROR(INDEX(Spreads!C:C, MATCH('CME Data'!I335,Spreads!A:A,0)),"---")</f>
        <v>46192</v>
      </c>
      <c r="K335" s="40">
        <f t="shared" si="23"/>
        <v>46171</v>
      </c>
    </row>
    <row r="336" spans="1:11" x14ac:dyDescent="0.2">
      <c r="A336" s="18" t="s">
        <v>427</v>
      </c>
      <c r="B336" s="2">
        <v>45869</v>
      </c>
      <c r="C336" s="2">
        <v>46232</v>
      </c>
      <c r="D336" s="2">
        <v>46232</v>
      </c>
      <c r="E336" s="22">
        <v>46203</v>
      </c>
      <c r="F336" s="2">
        <f t="shared" si="20"/>
        <v>46203</v>
      </c>
      <c r="G336" t="str">
        <f t="shared" si="21"/>
        <v>SIL</v>
      </c>
      <c r="H336" s="35" t="str">
        <f t="shared" si="22"/>
        <v>COMEX_MINI</v>
      </c>
      <c r="I336" t="str" cm="1">
        <f t="array" ref="I336">IFERROR(INDEX(Spreads!A:A,MATCH(1, (Spreads!E:E=G336)*(Spreads!C:C&gt;=F336), 0)),"---")</f>
        <v>SILV-9.26</v>
      </c>
      <c r="J336" s="40">
        <f>IFERROR(INDEX(Spreads!C:C, MATCH('CME Data'!I336,Spreads!A:A,0)),"---")</f>
        <v>46283</v>
      </c>
      <c r="K336" s="40">
        <f t="shared" si="23"/>
        <v>46203</v>
      </c>
    </row>
    <row r="337" spans="1:11" x14ac:dyDescent="0.2">
      <c r="A337" s="18" t="s">
        <v>428</v>
      </c>
      <c r="B337" s="2">
        <v>45930</v>
      </c>
      <c r="C337" s="2">
        <v>46293</v>
      </c>
      <c r="D337" s="2">
        <v>46293</v>
      </c>
      <c r="E337" s="22">
        <v>46265</v>
      </c>
      <c r="F337" s="2">
        <f t="shared" si="20"/>
        <v>46265</v>
      </c>
      <c r="G337" t="str">
        <f t="shared" si="21"/>
        <v>SIL</v>
      </c>
      <c r="H337" s="35" t="str">
        <f t="shared" si="22"/>
        <v>COMEX_MINI</v>
      </c>
      <c r="I337" t="str" cm="1">
        <f t="array" ref="I337">IFERROR(INDEX(Spreads!A:A,MATCH(1, (Spreads!E:E=G337)*(Spreads!C:C&gt;=F337), 0)),"---")</f>
        <v>SILV-9.26</v>
      </c>
      <c r="J337" s="40">
        <f>IFERROR(INDEX(Spreads!C:C, MATCH('CME Data'!I337,Spreads!A:A,0)),"---")</f>
        <v>46283</v>
      </c>
      <c r="K337" s="40">
        <f t="shared" si="23"/>
        <v>46265</v>
      </c>
    </row>
    <row r="338" spans="1:11" x14ac:dyDescent="0.2">
      <c r="A338" s="18" t="s">
        <v>429</v>
      </c>
      <c r="B338" s="2">
        <v>46022</v>
      </c>
      <c r="C338" s="2">
        <v>46385</v>
      </c>
      <c r="D338" s="2">
        <v>46385</v>
      </c>
      <c r="E338" s="22">
        <v>46356</v>
      </c>
      <c r="F338" s="2">
        <f t="shared" si="20"/>
        <v>46356</v>
      </c>
      <c r="G338" t="str">
        <f t="shared" si="21"/>
        <v>SIL</v>
      </c>
      <c r="H338" s="35" t="str">
        <f t="shared" si="22"/>
        <v>COMEX_MINI</v>
      </c>
      <c r="I338" t="str" cm="1">
        <f t="array" ref="I338">IFERROR(INDEX(Spreads!A:A,MATCH(1, (Spreads!E:E=G338)*(Spreads!C:C&gt;=F338), 0)),"---")</f>
        <v>---</v>
      </c>
      <c r="J338" s="40" t="str">
        <f>IFERROR(INDEX(Spreads!C:C, MATCH('CME Data'!I338,Spreads!A:A,0)),"---")</f>
        <v>---</v>
      </c>
      <c r="K338" s="40">
        <f t="shared" si="23"/>
        <v>46356</v>
      </c>
    </row>
    <row r="339" spans="1:11" x14ac:dyDescent="0.2">
      <c r="A339" s="18" t="s">
        <v>430</v>
      </c>
      <c r="B339" s="2">
        <v>46052</v>
      </c>
      <c r="C339" s="2">
        <v>46414</v>
      </c>
      <c r="D339" s="2">
        <v>46414</v>
      </c>
      <c r="E339" s="22">
        <v>46387</v>
      </c>
      <c r="F339" s="2">
        <f t="shared" si="20"/>
        <v>46387</v>
      </c>
      <c r="G339" t="str">
        <f t="shared" si="21"/>
        <v>SIL</v>
      </c>
      <c r="H339" s="35" t="str">
        <f t="shared" si="22"/>
        <v>COMEX_MINI</v>
      </c>
      <c r="I339" t="str" cm="1">
        <f t="array" ref="I339">IFERROR(INDEX(Spreads!A:A,MATCH(1, (Spreads!E:E=G339)*(Spreads!C:C&gt;=F339), 0)),"---")</f>
        <v>---</v>
      </c>
      <c r="J339" s="40" t="str">
        <f>IFERROR(INDEX(Spreads!C:C, MATCH('CME Data'!I339,Spreads!A:A,0)),"---")</f>
        <v>---</v>
      </c>
      <c r="K339" s="40">
        <f t="shared" si="23"/>
        <v>46387</v>
      </c>
    </row>
    <row r="340" spans="1:11" x14ac:dyDescent="0.2">
      <c r="A340" s="18" t="s">
        <v>431</v>
      </c>
      <c r="B340" s="2">
        <v>46112</v>
      </c>
      <c r="C340" s="2">
        <v>46475</v>
      </c>
      <c r="D340" s="2">
        <v>46475</v>
      </c>
      <c r="E340" s="22">
        <v>46444</v>
      </c>
      <c r="F340" s="2">
        <f t="shared" si="20"/>
        <v>46444</v>
      </c>
      <c r="G340" t="str">
        <f t="shared" si="21"/>
        <v>SIL</v>
      </c>
      <c r="H340" s="35" t="str">
        <f t="shared" si="22"/>
        <v>COMEX_MINI</v>
      </c>
      <c r="I340" t="str" cm="1">
        <f t="array" ref="I340">IFERROR(INDEX(Spreads!A:A,MATCH(1, (Spreads!E:E=G340)*(Spreads!C:C&gt;=F340), 0)),"---")</f>
        <v>---</v>
      </c>
      <c r="J340" s="40" t="str">
        <f>IFERROR(INDEX(Spreads!C:C, MATCH('CME Data'!I340,Spreads!A:A,0)),"---")</f>
        <v>---</v>
      </c>
      <c r="K340" s="40">
        <f t="shared" si="23"/>
        <v>46444</v>
      </c>
    </row>
    <row r="341" spans="1:11" x14ac:dyDescent="0.2">
      <c r="A341" s="18" t="s">
        <v>432</v>
      </c>
      <c r="B341" s="2">
        <v>45565</v>
      </c>
      <c r="C341" s="2">
        <v>46108</v>
      </c>
      <c r="D341" s="2">
        <v>46108</v>
      </c>
      <c r="E341" s="38" t="s">
        <v>422</v>
      </c>
      <c r="F341" s="2">
        <f t="shared" si="20"/>
        <v>46108</v>
      </c>
      <c r="G341" t="str">
        <f t="shared" si="21"/>
        <v>MBT</v>
      </c>
      <c r="H341" s="35" t="str">
        <f t="shared" si="22"/>
        <v>CME</v>
      </c>
      <c r="I341" t="str" cm="1">
        <f t="array" ref="I341">IFERROR(INDEX(Spreads!A:A,MATCH(1, (Spreads!E:E=G341)*(Spreads!C:C&gt;=F341), 0)),"---")</f>
        <v>BTC-3.26</v>
      </c>
      <c r="J341" s="40">
        <f>IFERROR(INDEX(Spreads!C:C, MATCH('CME Data'!I341,Spreads!A:A,0)),"---")</f>
        <v>46108</v>
      </c>
      <c r="K341" s="40">
        <f t="shared" si="23"/>
        <v>46108</v>
      </c>
    </row>
    <row r="342" spans="1:11" x14ac:dyDescent="0.2">
      <c r="A342" s="18" t="s">
        <v>433</v>
      </c>
      <c r="B342" s="2">
        <v>45964</v>
      </c>
      <c r="C342" s="2">
        <v>46136</v>
      </c>
      <c r="D342" s="2">
        <v>46136</v>
      </c>
      <c r="E342" s="38" t="s">
        <v>422</v>
      </c>
      <c r="F342" s="2">
        <f t="shared" si="20"/>
        <v>46136</v>
      </c>
      <c r="G342" t="str">
        <f t="shared" si="21"/>
        <v>MBT</v>
      </c>
      <c r="H342" s="35" t="str">
        <f t="shared" si="22"/>
        <v>CME</v>
      </c>
      <c r="I342" t="str" cm="1">
        <f t="array" ref="I342">IFERROR(INDEX(Spreads!A:A,MATCH(1, (Spreads!E:E=G342)*(Spreads!C:C&gt;=F342), 0)),"---")</f>
        <v>BTC-4.26</v>
      </c>
      <c r="J342" s="40">
        <f>IFERROR(INDEX(Spreads!C:C, MATCH('CME Data'!I342,Spreads!A:A,0)),"---")</f>
        <v>46136</v>
      </c>
      <c r="K342" s="40">
        <f t="shared" si="23"/>
        <v>46136</v>
      </c>
    </row>
    <row r="343" spans="1:11" x14ac:dyDescent="0.2">
      <c r="A343" s="18" t="s">
        <v>434</v>
      </c>
      <c r="B343" s="2">
        <v>45992</v>
      </c>
      <c r="C343" s="2">
        <v>46171</v>
      </c>
      <c r="D343" s="2">
        <v>46171</v>
      </c>
      <c r="E343" s="38" t="s">
        <v>422</v>
      </c>
      <c r="F343" s="2">
        <f t="shared" si="20"/>
        <v>46171</v>
      </c>
      <c r="G343" t="str">
        <f t="shared" si="21"/>
        <v>MBT</v>
      </c>
      <c r="H343" s="35" t="str">
        <f t="shared" si="22"/>
        <v>CME</v>
      </c>
      <c r="I343" t="str" cm="1">
        <f t="array" ref="I343">IFERROR(INDEX(Spreads!A:A,MATCH(1, (Spreads!E:E=G343)*(Spreads!C:C&gt;=F343), 0)),"---")</f>
        <v>BTC-5.26</v>
      </c>
      <c r="J343" s="40">
        <f>IFERROR(INDEX(Spreads!C:C, MATCH('CME Data'!I343,Spreads!A:A,0)),"---")</f>
        <v>46171</v>
      </c>
      <c r="K343" s="40">
        <f t="shared" si="23"/>
        <v>46171</v>
      </c>
    </row>
    <row r="344" spans="1:11" x14ac:dyDescent="0.2">
      <c r="A344" s="18" t="s">
        <v>435</v>
      </c>
      <c r="B344" s="2">
        <v>45656</v>
      </c>
      <c r="C344" s="2">
        <v>46199</v>
      </c>
      <c r="D344" s="2">
        <v>46199</v>
      </c>
      <c r="E344" s="38" t="s">
        <v>422</v>
      </c>
      <c r="F344" s="2">
        <f t="shared" si="20"/>
        <v>46199</v>
      </c>
      <c r="G344" t="str">
        <f t="shared" si="21"/>
        <v>MBT</v>
      </c>
      <c r="H344" s="35" t="str">
        <f t="shared" si="22"/>
        <v>CME</v>
      </c>
      <c r="I344" t="str" cm="1">
        <f t="array" ref="I344">IFERROR(INDEX(Spreads!A:A,MATCH(1, (Spreads!E:E=G344)*(Spreads!C:C&gt;=F344), 0)),"---")</f>
        <v>---</v>
      </c>
      <c r="J344" s="40" t="str">
        <f>IFERROR(INDEX(Spreads!C:C, MATCH('CME Data'!I344,Spreads!A:A,0)),"---")</f>
        <v>---</v>
      </c>
      <c r="K344" s="40">
        <f t="shared" si="23"/>
        <v>46199</v>
      </c>
    </row>
    <row r="345" spans="1:11" x14ac:dyDescent="0.2">
      <c r="A345" s="18" t="s">
        <v>436</v>
      </c>
      <c r="B345" s="2">
        <v>46055</v>
      </c>
      <c r="C345" s="2">
        <v>46234</v>
      </c>
      <c r="D345" s="2">
        <v>46234</v>
      </c>
      <c r="E345" s="38" t="s">
        <v>422</v>
      </c>
      <c r="F345" s="2">
        <f t="shared" si="20"/>
        <v>46234</v>
      </c>
      <c r="G345" t="str">
        <f t="shared" si="21"/>
        <v>MBT</v>
      </c>
      <c r="H345" s="35" t="str">
        <f t="shared" si="22"/>
        <v>CME</v>
      </c>
      <c r="I345" t="str" cm="1">
        <f t="array" ref="I345">IFERROR(INDEX(Spreads!A:A,MATCH(1, (Spreads!E:E=G345)*(Spreads!C:C&gt;=F345), 0)),"---")</f>
        <v>---</v>
      </c>
      <c r="J345" s="40" t="str">
        <f>IFERROR(INDEX(Spreads!C:C, MATCH('CME Data'!I345,Spreads!A:A,0)),"---")</f>
        <v>---</v>
      </c>
      <c r="K345" s="40">
        <f t="shared" si="23"/>
        <v>46234</v>
      </c>
    </row>
    <row r="346" spans="1:11" x14ac:dyDescent="0.2">
      <c r="A346" s="18" t="s">
        <v>437</v>
      </c>
      <c r="B346" s="2">
        <v>46083</v>
      </c>
      <c r="C346" s="2">
        <v>46262</v>
      </c>
      <c r="D346" s="2">
        <v>46262</v>
      </c>
      <c r="E346" s="38" t="s">
        <v>422</v>
      </c>
      <c r="F346" s="2">
        <f t="shared" si="20"/>
        <v>46262</v>
      </c>
      <c r="G346" t="str">
        <f t="shared" si="21"/>
        <v>MBT</v>
      </c>
      <c r="H346" s="35" t="str">
        <f t="shared" si="22"/>
        <v>CME</v>
      </c>
      <c r="I346" t="str" cm="1">
        <f t="array" ref="I346">IFERROR(INDEX(Spreads!A:A,MATCH(1, (Spreads!E:E=G346)*(Spreads!C:C&gt;=F346), 0)),"---")</f>
        <v>---</v>
      </c>
      <c r="J346" s="40" t="str">
        <f>IFERROR(INDEX(Spreads!C:C, MATCH('CME Data'!I346,Spreads!A:A,0)),"---")</f>
        <v>---</v>
      </c>
      <c r="K346" s="40">
        <f t="shared" si="23"/>
        <v>46262</v>
      </c>
    </row>
    <row r="347" spans="1:11" x14ac:dyDescent="0.2">
      <c r="A347" s="18" t="s">
        <v>438</v>
      </c>
      <c r="B347" s="2">
        <v>45747</v>
      </c>
      <c r="C347" s="2">
        <v>46290</v>
      </c>
      <c r="D347" s="2">
        <v>46290</v>
      </c>
      <c r="E347" s="38" t="s">
        <v>422</v>
      </c>
      <c r="F347" s="2">
        <f t="shared" si="20"/>
        <v>46290</v>
      </c>
      <c r="G347" t="str">
        <f t="shared" si="21"/>
        <v>MBT</v>
      </c>
      <c r="H347" s="35" t="str">
        <f t="shared" si="22"/>
        <v>CME</v>
      </c>
      <c r="I347" t="str" cm="1">
        <f t="array" ref="I347">IFERROR(INDEX(Spreads!A:A,MATCH(1, (Spreads!E:E=G347)*(Spreads!C:C&gt;=F347), 0)),"---")</f>
        <v>---</v>
      </c>
      <c r="J347" s="40" t="str">
        <f>IFERROR(INDEX(Spreads!C:C, MATCH('CME Data'!I347,Spreads!A:A,0)),"---")</f>
        <v>---</v>
      </c>
      <c r="K347" s="40">
        <f t="shared" si="23"/>
        <v>46290</v>
      </c>
    </row>
    <row r="348" spans="1:11" x14ac:dyDescent="0.2">
      <c r="A348" s="18" t="s">
        <v>439</v>
      </c>
      <c r="B348" s="2">
        <v>45656</v>
      </c>
      <c r="C348" s="2">
        <v>46380</v>
      </c>
      <c r="D348" s="2">
        <v>46380</v>
      </c>
      <c r="E348" s="38" t="s">
        <v>422</v>
      </c>
      <c r="F348" s="2">
        <f t="shared" si="20"/>
        <v>46380</v>
      </c>
      <c r="G348" t="str">
        <f t="shared" si="21"/>
        <v>MBT</v>
      </c>
      <c r="H348" s="35" t="str">
        <f t="shared" si="22"/>
        <v>CME</v>
      </c>
      <c r="I348" t="str" cm="1">
        <f t="array" ref="I348">IFERROR(INDEX(Spreads!A:A,MATCH(1, (Spreads!E:E=G348)*(Spreads!C:C&gt;=F348), 0)),"---")</f>
        <v>---</v>
      </c>
      <c r="J348" s="40" t="str">
        <f>IFERROR(INDEX(Spreads!C:C, MATCH('CME Data'!I348,Spreads!A:A,0)),"---")</f>
        <v>---</v>
      </c>
      <c r="K348" s="40">
        <f t="shared" si="23"/>
        <v>46380</v>
      </c>
    </row>
    <row r="349" spans="1:11" x14ac:dyDescent="0.2">
      <c r="A349" s="18" t="s">
        <v>440</v>
      </c>
      <c r="B349" s="2">
        <v>45929</v>
      </c>
      <c r="C349" s="2">
        <v>46471</v>
      </c>
      <c r="D349" s="2">
        <v>46471</v>
      </c>
      <c r="E349" s="38" t="s">
        <v>422</v>
      </c>
      <c r="F349" s="2">
        <f t="shared" si="20"/>
        <v>46471</v>
      </c>
      <c r="G349" t="str">
        <f t="shared" si="21"/>
        <v>MBT</v>
      </c>
      <c r="H349" s="35" t="str">
        <f t="shared" si="22"/>
        <v>CME</v>
      </c>
      <c r="I349" t="str" cm="1">
        <f t="array" ref="I349">IFERROR(INDEX(Spreads!A:A,MATCH(1, (Spreads!E:E=G349)*(Spreads!C:C&gt;=F349), 0)),"---")</f>
        <v>---</v>
      </c>
      <c r="J349" s="40" t="str">
        <f>IFERROR(INDEX(Spreads!C:C, MATCH('CME Data'!I349,Spreads!A:A,0)),"---")</f>
        <v>---</v>
      </c>
      <c r="K349" s="40">
        <f t="shared" si="23"/>
        <v>46471</v>
      </c>
    </row>
    <row r="350" spans="1:11" x14ac:dyDescent="0.2">
      <c r="A350" s="18" t="s">
        <v>441</v>
      </c>
      <c r="B350" s="2">
        <v>46020</v>
      </c>
      <c r="C350" s="2">
        <v>46563</v>
      </c>
      <c r="D350" s="2">
        <v>46563</v>
      </c>
      <c r="E350" s="38" t="s">
        <v>422</v>
      </c>
      <c r="F350" s="2">
        <f t="shared" si="20"/>
        <v>46563</v>
      </c>
      <c r="G350" t="str">
        <f t="shared" si="21"/>
        <v>MBT</v>
      </c>
      <c r="H350" s="35" t="str">
        <f t="shared" si="22"/>
        <v>CME</v>
      </c>
      <c r="I350" t="str" cm="1">
        <f t="array" ref="I350">IFERROR(INDEX(Spreads!A:A,MATCH(1, (Spreads!E:E=G350)*(Spreads!C:C&gt;=F350), 0)),"---")</f>
        <v>---</v>
      </c>
      <c r="J350" s="40" t="str">
        <f>IFERROR(INDEX(Spreads!C:C, MATCH('CME Data'!I350,Spreads!A:A,0)),"---")</f>
        <v>---</v>
      </c>
      <c r="K350" s="40">
        <f t="shared" si="23"/>
        <v>46563</v>
      </c>
    </row>
    <row r="351" spans="1:11" x14ac:dyDescent="0.2">
      <c r="A351" s="18" t="s">
        <v>442</v>
      </c>
      <c r="B351" s="2">
        <v>46111</v>
      </c>
      <c r="C351" s="2">
        <v>46654</v>
      </c>
      <c r="D351" s="2">
        <v>46654</v>
      </c>
      <c r="E351" s="38" t="s">
        <v>422</v>
      </c>
      <c r="F351" s="2">
        <f t="shared" si="20"/>
        <v>46654</v>
      </c>
      <c r="G351" t="str">
        <f t="shared" si="21"/>
        <v>MBT</v>
      </c>
      <c r="H351" s="35" t="str">
        <f t="shared" si="22"/>
        <v>CME</v>
      </c>
      <c r="I351" t="str" cm="1">
        <f t="array" ref="I351">IFERROR(INDEX(Spreads!A:A,MATCH(1, (Spreads!E:E=G351)*(Spreads!C:C&gt;=F351), 0)),"---")</f>
        <v>---</v>
      </c>
      <c r="J351" s="40" t="str">
        <f>IFERROR(INDEX(Spreads!C:C, MATCH('CME Data'!I351,Spreads!A:A,0)),"---")</f>
        <v>---</v>
      </c>
      <c r="K351" s="40">
        <f t="shared" si="23"/>
        <v>46654</v>
      </c>
    </row>
    <row r="352" spans="1:11" x14ac:dyDescent="0.2">
      <c r="A352" s="18" t="s">
        <v>443</v>
      </c>
      <c r="B352" s="2">
        <v>46020</v>
      </c>
      <c r="C352" s="2">
        <v>46752</v>
      </c>
      <c r="D352" s="2">
        <v>46752</v>
      </c>
      <c r="E352" s="38" t="s">
        <v>422</v>
      </c>
      <c r="F352" s="2">
        <f t="shared" si="20"/>
        <v>46752</v>
      </c>
      <c r="G352" t="str">
        <f t="shared" si="21"/>
        <v>MBT</v>
      </c>
      <c r="H352" s="35" t="str">
        <f t="shared" si="22"/>
        <v>CME</v>
      </c>
      <c r="I352" t="str" cm="1">
        <f t="array" ref="I352">IFERROR(INDEX(Spreads!A:A,MATCH(1, (Spreads!E:E=G352)*(Spreads!C:C&gt;=F352), 0)),"---")</f>
        <v>---</v>
      </c>
      <c r="J352" s="40" t="str">
        <f>IFERROR(INDEX(Spreads!C:C, MATCH('CME Data'!I352,Spreads!A:A,0)),"---")</f>
        <v>---</v>
      </c>
      <c r="K352" s="40">
        <f t="shared" si="23"/>
        <v>46752</v>
      </c>
    </row>
    <row r="353" spans="1:11" x14ac:dyDescent="0.2">
      <c r="A353" s="18" t="s">
        <v>444</v>
      </c>
      <c r="B353" s="2">
        <v>44271</v>
      </c>
      <c r="C353" s="2">
        <v>46097</v>
      </c>
      <c r="D353" s="2">
        <v>46097</v>
      </c>
      <c r="E353" s="38" t="s">
        <v>422</v>
      </c>
      <c r="F353" s="2">
        <f t="shared" si="20"/>
        <v>46097</v>
      </c>
      <c r="G353" t="str">
        <f t="shared" si="21"/>
        <v>EC</v>
      </c>
      <c r="H353" s="35" t="str">
        <f t="shared" si="22"/>
        <v>CME</v>
      </c>
      <c r="I353" t="str" cm="1">
        <f t="array" ref="I353">IFERROR(INDEX(Spreads!A:A,MATCH(1, (Spreads!E:E=G353)*(Spreads!C:C&gt;=F353), 0)),"---")</f>
        <v>ED-3.26</v>
      </c>
      <c r="J353" s="40">
        <f>IFERROR(INDEX(Spreads!C:C, MATCH('CME Data'!I353,Spreads!A:A,0)),"---")</f>
        <v>46100</v>
      </c>
      <c r="K353" s="40">
        <f t="shared" si="23"/>
        <v>46097</v>
      </c>
    </row>
    <row r="354" spans="1:11" x14ac:dyDescent="0.2">
      <c r="A354" s="18" t="s">
        <v>445</v>
      </c>
      <c r="B354" s="2">
        <v>45979</v>
      </c>
      <c r="C354" s="2">
        <v>46125</v>
      </c>
      <c r="D354" s="2">
        <v>46125</v>
      </c>
      <c r="E354" s="38" t="s">
        <v>422</v>
      </c>
      <c r="F354" s="2">
        <f t="shared" si="20"/>
        <v>46125</v>
      </c>
      <c r="G354" t="str">
        <f t="shared" si="21"/>
        <v>EC</v>
      </c>
      <c r="H354" s="35" t="str">
        <f t="shared" si="22"/>
        <v>CME</v>
      </c>
      <c r="I354" t="str" cm="1">
        <f t="array" ref="I354">IFERROR(INDEX(Spreads!A:A,MATCH(1, (Spreads!E:E=G354)*(Spreads!C:C&gt;=F354), 0)),"---")</f>
        <v>ED-6.26</v>
      </c>
      <c r="J354" s="40">
        <f>IFERROR(INDEX(Spreads!C:C, MATCH('CME Data'!I354,Spreads!A:A,0)),"---")</f>
        <v>46191</v>
      </c>
      <c r="K354" s="40">
        <f t="shared" si="23"/>
        <v>46125</v>
      </c>
    </row>
    <row r="355" spans="1:11" x14ac:dyDescent="0.2">
      <c r="A355" s="18" t="s">
        <v>446</v>
      </c>
      <c r="B355" s="2">
        <v>46042</v>
      </c>
      <c r="C355" s="2">
        <v>46160</v>
      </c>
      <c r="D355" s="2">
        <v>46160</v>
      </c>
      <c r="E355" s="38" t="s">
        <v>422</v>
      </c>
      <c r="F355" s="2">
        <f t="shared" si="20"/>
        <v>46160</v>
      </c>
      <c r="G355" t="str">
        <f t="shared" si="21"/>
        <v>EC</v>
      </c>
      <c r="H355" s="35" t="str">
        <f t="shared" si="22"/>
        <v>CME</v>
      </c>
      <c r="I355" t="str" cm="1">
        <f t="array" ref="I355">IFERROR(INDEX(Spreads!A:A,MATCH(1, (Spreads!E:E=G355)*(Spreads!C:C&gt;=F355), 0)),"---")</f>
        <v>ED-6.26</v>
      </c>
      <c r="J355" s="40">
        <f>IFERROR(INDEX(Spreads!C:C, MATCH('CME Data'!I355,Spreads!A:A,0)),"---")</f>
        <v>46191</v>
      </c>
      <c r="K355" s="40">
        <f t="shared" si="23"/>
        <v>46160</v>
      </c>
    </row>
    <row r="356" spans="1:11" x14ac:dyDescent="0.2">
      <c r="A356" s="18" t="s">
        <v>447</v>
      </c>
      <c r="B356" s="2">
        <v>44362</v>
      </c>
      <c r="C356" s="2">
        <v>46188</v>
      </c>
      <c r="D356" s="2">
        <v>46188</v>
      </c>
      <c r="E356" s="38" t="s">
        <v>422</v>
      </c>
      <c r="F356" s="2">
        <f t="shared" si="20"/>
        <v>46188</v>
      </c>
      <c r="G356" t="str">
        <f t="shared" si="21"/>
        <v>EC</v>
      </c>
      <c r="H356" s="35" t="str">
        <f t="shared" si="22"/>
        <v>CME</v>
      </c>
      <c r="I356" t="str" cm="1">
        <f t="array" ref="I356">IFERROR(INDEX(Spreads!A:A,MATCH(1, (Spreads!E:E=G356)*(Spreads!C:C&gt;=F356), 0)),"---")</f>
        <v>ED-6.26</v>
      </c>
      <c r="J356" s="40">
        <f>IFERROR(INDEX(Spreads!C:C, MATCH('CME Data'!I356,Spreads!A:A,0)),"---")</f>
        <v>46191</v>
      </c>
      <c r="K356" s="40">
        <f t="shared" si="23"/>
        <v>46188</v>
      </c>
    </row>
    <row r="357" spans="1:11" x14ac:dyDescent="0.2">
      <c r="A357" s="18" t="s">
        <v>448</v>
      </c>
      <c r="B357" s="2">
        <v>46070</v>
      </c>
      <c r="C357" s="2">
        <v>46216</v>
      </c>
      <c r="D357" s="2">
        <v>46216</v>
      </c>
      <c r="E357" s="38" t="s">
        <v>422</v>
      </c>
      <c r="F357" s="2">
        <f t="shared" si="20"/>
        <v>46216</v>
      </c>
      <c r="G357" t="str">
        <f t="shared" si="21"/>
        <v>EC</v>
      </c>
      <c r="H357" s="35" t="str">
        <f t="shared" si="22"/>
        <v>CME</v>
      </c>
      <c r="I357" t="str" cm="1">
        <f t="array" ref="I357">IFERROR(INDEX(Spreads!A:A,MATCH(1, (Spreads!E:E=G357)*(Spreads!C:C&gt;=F357), 0)),"---")</f>
        <v>ED-9.26</v>
      </c>
      <c r="J357" s="40">
        <f>IFERROR(INDEX(Spreads!C:C, MATCH('CME Data'!I357,Spreads!A:A,0)),"---")</f>
        <v>46282</v>
      </c>
      <c r="K357" s="40">
        <f t="shared" si="23"/>
        <v>46216</v>
      </c>
    </row>
    <row r="358" spans="1:11" x14ac:dyDescent="0.2">
      <c r="A358" s="18" t="s">
        <v>449</v>
      </c>
      <c r="B358" s="2">
        <v>46126</v>
      </c>
      <c r="C358" s="2">
        <v>46251</v>
      </c>
      <c r="D358" s="2">
        <v>46251</v>
      </c>
      <c r="E358" s="38" t="s">
        <v>422</v>
      </c>
      <c r="F358" s="2">
        <f t="shared" si="20"/>
        <v>46251</v>
      </c>
      <c r="G358" t="str">
        <f t="shared" si="21"/>
        <v>EC</v>
      </c>
      <c r="H358" s="35" t="str">
        <f t="shared" si="22"/>
        <v>CME</v>
      </c>
      <c r="I358" t="str" cm="1">
        <f t="array" ref="I358">IFERROR(INDEX(Spreads!A:A,MATCH(1, (Spreads!E:E=G358)*(Spreads!C:C&gt;=F358), 0)),"---")</f>
        <v>ED-9.26</v>
      </c>
      <c r="J358" s="40">
        <f>IFERROR(INDEX(Spreads!C:C, MATCH('CME Data'!I358,Spreads!A:A,0)),"---")</f>
        <v>46282</v>
      </c>
      <c r="K358" s="40">
        <f t="shared" si="23"/>
        <v>46251</v>
      </c>
    </row>
    <row r="359" spans="1:11" x14ac:dyDescent="0.2">
      <c r="A359" s="18" t="s">
        <v>450</v>
      </c>
      <c r="B359" s="2">
        <v>44453</v>
      </c>
      <c r="C359" s="2">
        <v>46279</v>
      </c>
      <c r="D359" s="2">
        <v>46279</v>
      </c>
      <c r="E359" s="38" t="s">
        <v>422</v>
      </c>
      <c r="F359" s="2">
        <f t="shared" si="20"/>
        <v>46279</v>
      </c>
      <c r="G359" t="str">
        <f t="shared" si="21"/>
        <v>EC</v>
      </c>
      <c r="H359" s="35" t="str">
        <f t="shared" si="22"/>
        <v>CME</v>
      </c>
      <c r="I359" t="str" cm="1">
        <f t="array" ref="I359">IFERROR(INDEX(Spreads!A:A,MATCH(1, (Spreads!E:E=G359)*(Spreads!C:C&gt;=F359), 0)),"---")</f>
        <v>ED-9.26</v>
      </c>
      <c r="J359" s="40">
        <f>IFERROR(INDEX(Spreads!C:C, MATCH('CME Data'!I359,Spreads!A:A,0)),"---")</f>
        <v>46282</v>
      </c>
      <c r="K359" s="40">
        <f t="shared" si="23"/>
        <v>46279</v>
      </c>
    </row>
    <row r="360" spans="1:11" x14ac:dyDescent="0.2">
      <c r="A360" s="18" t="s">
        <v>451</v>
      </c>
      <c r="B360" s="2">
        <v>44544</v>
      </c>
      <c r="C360" s="2">
        <v>46370</v>
      </c>
      <c r="D360" s="2">
        <v>46370</v>
      </c>
      <c r="E360" s="38" t="s">
        <v>422</v>
      </c>
      <c r="F360" s="2">
        <f t="shared" si="20"/>
        <v>46370</v>
      </c>
      <c r="G360" t="str">
        <f t="shared" si="21"/>
        <v>EC</v>
      </c>
      <c r="H360" s="35" t="str">
        <f t="shared" si="22"/>
        <v>CME</v>
      </c>
      <c r="I360" t="str" cm="1">
        <f t="array" ref="I360">IFERROR(INDEX(Spreads!A:A,MATCH(1, (Spreads!E:E=G360)*(Spreads!C:C&gt;=F360), 0)),"---")</f>
        <v>ED-12.26</v>
      </c>
      <c r="J360" s="40">
        <f>IFERROR(INDEX(Spreads!C:C, MATCH('CME Data'!I360,Spreads!A:A,0)),"---")</f>
        <v>46373</v>
      </c>
      <c r="K360" s="40">
        <f t="shared" si="23"/>
        <v>46370</v>
      </c>
    </row>
    <row r="361" spans="1:11" x14ac:dyDescent="0.2">
      <c r="A361" s="18" t="s">
        <v>452</v>
      </c>
      <c r="B361" s="2">
        <v>44635</v>
      </c>
      <c r="C361" s="2">
        <v>46461</v>
      </c>
      <c r="D361" s="2">
        <v>46461</v>
      </c>
      <c r="E361" s="38" t="s">
        <v>422</v>
      </c>
      <c r="F361" s="2">
        <f t="shared" si="20"/>
        <v>46461</v>
      </c>
      <c r="G361" t="str">
        <f t="shared" si="21"/>
        <v>EC</v>
      </c>
      <c r="H361" s="35" t="str">
        <f t="shared" si="22"/>
        <v>CME</v>
      </c>
      <c r="I361" t="str" cm="1">
        <f t="array" ref="I361">IFERROR(INDEX(Spreads!A:A,MATCH(1, (Spreads!E:E=G361)*(Spreads!C:C&gt;=F361), 0)),"---")</f>
        <v>---</v>
      </c>
      <c r="J361" s="40" t="str">
        <f>IFERROR(INDEX(Spreads!C:C, MATCH('CME Data'!I361,Spreads!A:A,0)),"---")</f>
        <v>---</v>
      </c>
      <c r="K361" s="40">
        <f t="shared" si="23"/>
        <v>46461</v>
      </c>
    </row>
    <row r="362" spans="1:11" x14ac:dyDescent="0.2">
      <c r="A362" s="18" t="s">
        <v>453</v>
      </c>
      <c r="B362" s="2">
        <v>44726</v>
      </c>
      <c r="C362" s="2">
        <v>46552</v>
      </c>
      <c r="D362" s="2">
        <v>46552</v>
      </c>
      <c r="E362" s="38" t="s">
        <v>422</v>
      </c>
      <c r="F362" s="2">
        <f t="shared" si="20"/>
        <v>46552</v>
      </c>
      <c r="G362" t="str">
        <f t="shared" si="21"/>
        <v>EC</v>
      </c>
      <c r="H362" s="35" t="str">
        <f t="shared" si="22"/>
        <v>CME</v>
      </c>
      <c r="I362" t="str" cm="1">
        <f t="array" ref="I362">IFERROR(INDEX(Spreads!A:A,MATCH(1, (Spreads!E:E=G362)*(Spreads!C:C&gt;=F362), 0)),"---")</f>
        <v>---</v>
      </c>
      <c r="J362" s="40" t="str">
        <f>IFERROR(INDEX(Spreads!C:C, MATCH('CME Data'!I362,Spreads!A:A,0)),"---")</f>
        <v>---</v>
      </c>
      <c r="K362" s="40">
        <f t="shared" si="23"/>
        <v>46552</v>
      </c>
    </row>
    <row r="363" spans="1:11" x14ac:dyDescent="0.2">
      <c r="A363" s="18" t="s">
        <v>454</v>
      </c>
      <c r="B363" s="2">
        <v>44824</v>
      </c>
      <c r="C363" s="2">
        <v>46643</v>
      </c>
      <c r="D363" s="2">
        <v>46643</v>
      </c>
      <c r="E363" s="38" t="s">
        <v>422</v>
      </c>
      <c r="F363" s="2">
        <f t="shared" si="20"/>
        <v>46643</v>
      </c>
      <c r="G363" t="str">
        <f t="shared" si="21"/>
        <v>EC</v>
      </c>
      <c r="H363" s="35" t="str">
        <f t="shared" si="22"/>
        <v>CME</v>
      </c>
      <c r="I363" t="str" cm="1">
        <f t="array" ref="I363">IFERROR(INDEX(Spreads!A:A,MATCH(1, (Spreads!E:E=G363)*(Spreads!C:C&gt;=F363), 0)),"---")</f>
        <v>---</v>
      </c>
      <c r="J363" s="40" t="str">
        <f>IFERROR(INDEX(Spreads!C:C, MATCH('CME Data'!I363,Spreads!A:A,0)),"---")</f>
        <v>---</v>
      </c>
      <c r="K363" s="40">
        <f t="shared" si="23"/>
        <v>46643</v>
      </c>
    </row>
    <row r="364" spans="1:11" x14ac:dyDescent="0.2">
      <c r="A364" s="18" t="s">
        <v>455</v>
      </c>
      <c r="B364" s="2">
        <v>44915</v>
      </c>
      <c r="C364" s="2">
        <v>46734</v>
      </c>
      <c r="D364" s="2">
        <v>46734</v>
      </c>
      <c r="E364" s="38" t="s">
        <v>422</v>
      </c>
      <c r="F364" s="2">
        <f t="shared" si="20"/>
        <v>46734</v>
      </c>
      <c r="G364" t="str">
        <f t="shared" si="21"/>
        <v>EC</v>
      </c>
      <c r="H364" s="35" t="str">
        <f t="shared" si="22"/>
        <v>CME</v>
      </c>
      <c r="I364" t="str" cm="1">
        <f t="array" ref="I364">IFERROR(INDEX(Spreads!A:A,MATCH(1, (Spreads!E:E=G364)*(Spreads!C:C&gt;=F364), 0)),"---")</f>
        <v>---</v>
      </c>
      <c r="J364" s="40" t="str">
        <f>IFERROR(INDEX(Spreads!C:C, MATCH('CME Data'!I364,Spreads!A:A,0)),"---")</f>
        <v>---</v>
      </c>
      <c r="K364" s="40">
        <f t="shared" si="23"/>
        <v>46734</v>
      </c>
    </row>
    <row r="365" spans="1:11" x14ac:dyDescent="0.2">
      <c r="A365" s="18" t="s">
        <v>456</v>
      </c>
      <c r="B365" s="2">
        <v>44999</v>
      </c>
      <c r="C365" s="2">
        <v>46825</v>
      </c>
      <c r="D365" s="2">
        <v>46825</v>
      </c>
      <c r="E365" s="38" t="s">
        <v>422</v>
      </c>
      <c r="F365" s="2">
        <f t="shared" si="20"/>
        <v>46825</v>
      </c>
      <c r="G365" t="str">
        <f t="shared" si="21"/>
        <v>EC</v>
      </c>
      <c r="H365" s="35" t="str">
        <f t="shared" si="22"/>
        <v>CME</v>
      </c>
      <c r="I365" t="str" cm="1">
        <f t="array" ref="I365">IFERROR(INDEX(Spreads!A:A,MATCH(1, (Spreads!E:E=G365)*(Spreads!C:C&gt;=F365), 0)),"---")</f>
        <v>---</v>
      </c>
      <c r="J365" s="40" t="str">
        <f>IFERROR(INDEX(Spreads!C:C, MATCH('CME Data'!I365,Spreads!A:A,0)),"---")</f>
        <v>---</v>
      </c>
      <c r="K365" s="40">
        <f t="shared" si="23"/>
        <v>46825</v>
      </c>
    </row>
    <row r="366" spans="1:11" x14ac:dyDescent="0.2">
      <c r="A366" s="18" t="s">
        <v>457</v>
      </c>
      <c r="B366" s="2">
        <v>45097</v>
      </c>
      <c r="C366" s="2">
        <v>46920</v>
      </c>
      <c r="D366" s="2">
        <v>46920</v>
      </c>
      <c r="E366" s="38" t="s">
        <v>422</v>
      </c>
      <c r="F366" s="2">
        <f t="shared" si="20"/>
        <v>46920</v>
      </c>
      <c r="G366" t="str">
        <f t="shared" si="21"/>
        <v>EC</v>
      </c>
      <c r="H366" s="35" t="str">
        <f t="shared" si="22"/>
        <v>CME</v>
      </c>
      <c r="I366" t="str" cm="1">
        <f t="array" ref="I366">IFERROR(INDEX(Spreads!A:A,MATCH(1, (Spreads!E:E=G366)*(Spreads!C:C&gt;=F366), 0)),"---")</f>
        <v>---</v>
      </c>
      <c r="J366" s="40" t="str">
        <f>IFERROR(INDEX(Spreads!C:C, MATCH('CME Data'!I366,Spreads!A:A,0)),"---")</f>
        <v>---</v>
      </c>
      <c r="K366" s="40">
        <f t="shared" si="23"/>
        <v>46920</v>
      </c>
    </row>
    <row r="367" spans="1:11" x14ac:dyDescent="0.2">
      <c r="A367" s="18" t="s">
        <v>458</v>
      </c>
      <c r="B367" s="2">
        <v>45188</v>
      </c>
      <c r="C367" s="2">
        <v>47014</v>
      </c>
      <c r="D367" s="2">
        <v>47014</v>
      </c>
      <c r="E367" s="38" t="s">
        <v>422</v>
      </c>
      <c r="F367" s="2">
        <f t="shared" si="20"/>
        <v>47014</v>
      </c>
      <c r="G367" t="str">
        <f t="shared" si="21"/>
        <v>EC</v>
      </c>
      <c r="H367" s="35" t="str">
        <f t="shared" si="22"/>
        <v>CME</v>
      </c>
      <c r="I367" t="str" cm="1">
        <f t="array" ref="I367">IFERROR(INDEX(Spreads!A:A,MATCH(1, (Spreads!E:E=G367)*(Spreads!C:C&gt;=F367), 0)),"---")</f>
        <v>---</v>
      </c>
      <c r="J367" s="40" t="str">
        <f>IFERROR(INDEX(Spreads!C:C, MATCH('CME Data'!I367,Spreads!A:A,0)),"---")</f>
        <v>---</v>
      </c>
      <c r="K367" s="40">
        <f t="shared" si="23"/>
        <v>47014</v>
      </c>
    </row>
    <row r="368" spans="1:11" x14ac:dyDescent="0.2">
      <c r="A368" s="18" t="s">
        <v>459</v>
      </c>
      <c r="B368" s="2">
        <v>45279</v>
      </c>
      <c r="C368" s="2">
        <v>47105</v>
      </c>
      <c r="D368" s="2">
        <v>47105</v>
      </c>
      <c r="E368" s="38" t="s">
        <v>422</v>
      </c>
      <c r="F368" s="2">
        <f t="shared" si="20"/>
        <v>47105</v>
      </c>
      <c r="G368" t="str">
        <f t="shared" si="21"/>
        <v>EC</v>
      </c>
      <c r="H368" s="35" t="str">
        <f t="shared" si="22"/>
        <v>CME</v>
      </c>
      <c r="I368" t="str" cm="1">
        <f t="array" ref="I368">IFERROR(INDEX(Spreads!A:A,MATCH(1, (Spreads!E:E=G368)*(Spreads!C:C&gt;=F368), 0)),"---")</f>
        <v>---</v>
      </c>
      <c r="J368" s="40" t="str">
        <f>IFERROR(INDEX(Spreads!C:C, MATCH('CME Data'!I368,Spreads!A:A,0)),"---")</f>
        <v>---</v>
      </c>
      <c r="K368" s="40">
        <f t="shared" si="23"/>
        <v>47105</v>
      </c>
    </row>
    <row r="369" spans="1:11" x14ac:dyDescent="0.2">
      <c r="A369" s="18" t="s">
        <v>460</v>
      </c>
      <c r="B369" s="2">
        <v>45370</v>
      </c>
      <c r="C369" s="2">
        <v>47196</v>
      </c>
      <c r="D369" s="2">
        <v>47196</v>
      </c>
      <c r="E369" s="38" t="s">
        <v>422</v>
      </c>
      <c r="F369" s="2">
        <f t="shared" si="20"/>
        <v>47196</v>
      </c>
      <c r="G369" t="str">
        <f t="shared" si="21"/>
        <v>EC</v>
      </c>
      <c r="H369" s="35" t="str">
        <f t="shared" si="22"/>
        <v>CME</v>
      </c>
      <c r="I369" t="str" cm="1">
        <f t="array" ref="I369">IFERROR(INDEX(Spreads!A:A,MATCH(1, (Spreads!E:E=G369)*(Spreads!C:C&gt;=F369), 0)),"---")</f>
        <v>---</v>
      </c>
      <c r="J369" s="40" t="str">
        <f>IFERROR(INDEX(Spreads!C:C, MATCH('CME Data'!I369,Spreads!A:A,0)),"---")</f>
        <v>---</v>
      </c>
      <c r="K369" s="40">
        <f t="shared" si="23"/>
        <v>47196</v>
      </c>
    </row>
    <row r="370" spans="1:11" x14ac:dyDescent="0.2">
      <c r="A370" s="18" t="s">
        <v>461</v>
      </c>
      <c r="B370" s="2">
        <v>45461</v>
      </c>
      <c r="C370" s="2">
        <v>47284</v>
      </c>
      <c r="D370" s="2">
        <v>47284</v>
      </c>
      <c r="E370" s="38" t="s">
        <v>422</v>
      </c>
      <c r="F370" s="2">
        <f t="shared" si="20"/>
        <v>47284</v>
      </c>
      <c r="G370" t="str">
        <f t="shared" si="21"/>
        <v>EC</v>
      </c>
      <c r="H370" s="35" t="str">
        <f t="shared" si="22"/>
        <v>CME</v>
      </c>
      <c r="I370" t="str" cm="1">
        <f t="array" ref="I370">IFERROR(INDEX(Spreads!A:A,MATCH(1, (Spreads!E:E=G370)*(Spreads!C:C&gt;=F370), 0)),"---")</f>
        <v>---</v>
      </c>
      <c r="J370" s="40" t="str">
        <f>IFERROR(INDEX(Spreads!C:C, MATCH('CME Data'!I370,Spreads!A:A,0)),"---")</f>
        <v>---</v>
      </c>
      <c r="K370" s="40">
        <f t="shared" si="23"/>
        <v>47284</v>
      </c>
    </row>
    <row r="371" spans="1:11" x14ac:dyDescent="0.2">
      <c r="A371" s="18" t="s">
        <v>462</v>
      </c>
      <c r="B371" s="2">
        <v>45552</v>
      </c>
      <c r="C371" s="2">
        <v>47378</v>
      </c>
      <c r="D371" s="2">
        <v>47378</v>
      </c>
      <c r="E371" s="38" t="s">
        <v>422</v>
      </c>
      <c r="F371" s="2">
        <f t="shared" si="20"/>
        <v>47378</v>
      </c>
      <c r="G371" t="str">
        <f t="shared" si="21"/>
        <v>EC</v>
      </c>
      <c r="H371" s="35" t="str">
        <f t="shared" si="22"/>
        <v>CME</v>
      </c>
      <c r="I371" t="str" cm="1">
        <f t="array" ref="I371">IFERROR(INDEX(Spreads!A:A,MATCH(1, (Spreads!E:E=G371)*(Spreads!C:C&gt;=F371), 0)),"---")</f>
        <v>---</v>
      </c>
      <c r="J371" s="40" t="str">
        <f>IFERROR(INDEX(Spreads!C:C, MATCH('CME Data'!I371,Spreads!A:A,0)),"---")</f>
        <v>---</v>
      </c>
      <c r="K371" s="40">
        <f t="shared" si="23"/>
        <v>47378</v>
      </c>
    </row>
    <row r="372" spans="1:11" x14ac:dyDescent="0.2">
      <c r="A372" s="18" t="s">
        <v>463</v>
      </c>
      <c r="B372" s="2">
        <v>45643</v>
      </c>
      <c r="C372" s="2">
        <v>47469</v>
      </c>
      <c r="D372" s="2">
        <v>47469</v>
      </c>
      <c r="E372" s="38" t="s">
        <v>422</v>
      </c>
      <c r="F372" s="2">
        <f t="shared" si="20"/>
        <v>47469</v>
      </c>
      <c r="G372" t="str">
        <f t="shared" si="21"/>
        <v>EC</v>
      </c>
      <c r="H372" s="35" t="str">
        <f t="shared" si="22"/>
        <v>CME</v>
      </c>
      <c r="I372" t="str" cm="1">
        <f t="array" ref="I372">IFERROR(INDEX(Spreads!A:A,MATCH(1, (Spreads!E:E=G372)*(Spreads!C:C&gt;=F372), 0)),"---")</f>
        <v>---</v>
      </c>
      <c r="J372" s="40" t="str">
        <f>IFERROR(INDEX(Spreads!C:C, MATCH('CME Data'!I372,Spreads!A:A,0)),"---")</f>
        <v>---</v>
      </c>
      <c r="K372" s="40">
        <f t="shared" si="23"/>
        <v>47469</v>
      </c>
    </row>
    <row r="373" spans="1:11" x14ac:dyDescent="0.2">
      <c r="A373" s="18" t="s">
        <v>464</v>
      </c>
      <c r="B373" s="2">
        <v>45734</v>
      </c>
      <c r="C373" s="2">
        <v>47560</v>
      </c>
      <c r="D373" s="2">
        <v>47560</v>
      </c>
      <c r="E373" s="38" t="s">
        <v>422</v>
      </c>
      <c r="F373" s="2">
        <f t="shared" si="20"/>
        <v>47560</v>
      </c>
      <c r="G373" t="str">
        <f t="shared" si="21"/>
        <v>EC</v>
      </c>
      <c r="H373" s="35" t="str">
        <f t="shared" si="22"/>
        <v>CME</v>
      </c>
      <c r="I373" t="str" cm="1">
        <f t="array" ref="I373">IFERROR(INDEX(Spreads!A:A,MATCH(1, (Spreads!E:E=G373)*(Spreads!C:C&gt;=F373), 0)),"---")</f>
        <v>---</v>
      </c>
      <c r="J373" s="40" t="str">
        <f>IFERROR(INDEX(Spreads!C:C, MATCH('CME Data'!I373,Spreads!A:A,0)),"---")</f>
        <v>---</v>
      </c>
      <c r="K373" s="40">
        <f t="shared" si="23"/>
        <v>47560</v>
      </c>
    </row>
    <row r="374" spans="1:11" x14ac:dyDescent="0.2">
      <c r="A374" s="18" t="s">
        <v>465</v>
      </c>
      <c r="B374" s="2">
        <v>45825</v>
      </c>
      <c r="C374" s="2">
        <v>47651</v>
      </c>
      <c r="D374" s="2">
        <v>47651</v>
      </c>
      <c r="E374" s="38" t="s">
        <v>422</v>
      </c>
      <c r="F374" s="2">
        <f t="shared" si="20"/>
        <v>47651</v>
      </c>
      <c r="G374" t="str">
        <f t="shared" si="21"/>
        <v>EC</v>
      </c>
      <c r="H374" s="35" t="str">
        <f t="shared" si="22"/>
        <v>CME</v>
      </c>
      <c r="I374" t="str" cm="1">
        <f t="array" ref="I374">IFERROR(INDEX(Spreads!A:A,MATCH(1, (Spreads!E:E=G374)*(Spreads!C:C&gt;=F374), 0)),"---")</f>
        <v>---</v>
      </c>
      <c r="J374" s="40" t="str">
        <f>IFERROR(INDEX(Spreads!C:C, MATCH('CME Data'!I374,Spreads!A:A,0)),"---")</f>
        <v>---</v>
      </c>
      <c r="K374" s="40">
        <f t="shared" si="23"/>
        <v>47651</v>
      </c>
    </row>
    <row r="375" spans="1:11" x14ac:dyDescent="0.2">
      <c r="A375" s="18" t="s">
        <v>466</v>
      </c>
      <c r="B375" s="2">
        <v>45916</v>
      </c>
      <c r="C375" s="2">
        <v>47742</v>
      </c>
      <c r="D375" s="2">
        <v>47742</v>
      </c>
      <c r="E375" s="38" t="s">
        <v>422</v>
      </c>
      <c r="F375" s="2">
        <f t="shared" si="20"/>
        <v>47742</v>
      </c>
      <c r="G375" t="str">
        <f t="shared" si="21"/>
        <v>EC</v>
      </c>
      <c r="H375" s="35" t="str">
        <f t="shared" si="22"/>
        <v>CME</v>
      </c>
      <c r="I375" t="str" cm="1">
        <f t="array" ref="I375">IFERROR(INDEX(Spreads!A:A,MATCH(1, (Spreads!E:E=G375)*(Spreads!C:C&gt;=F375), 0)),"---")</f>
        <v>---</v>
      </c>
      <c r="J375" s="40" t="str">
        <f>IFERROR(INDEX(Spreads!C:C, MATCH('CME Data'!I375,Spreads!A:A,0)),"---")</f>
        <v>---</v>
      </c>
      <c r="K375" s="40">
        <f t="shared" si="23"/>
        <v>47742</v>
      </c>
    </row>
    <row r="376" spans="1:11" x14ac:dyDescent="0.2">
      <c r="A376" s="18" t="s">
        <v>467</v>
      </c>
      <c r="B376" s="2">
        <v>46007</v>
      </c>
      <c r="C376" s="2">
        <v>47833</v>
      </c>
      <c r="D376" s="2">
        <v>47833</v>
      </c>
      <c r="E376" s="38" t="s">
        <v>422</v>
      </c>
      <c r="F376" s="2">
        <f t="shared" si="20"/>
        <v>47833</v>
      </c>
      <c r="G376" t="str">
        <f t="shared" si="21"/>
        <v>EC</v>
      </c>
      <c r="H376" s="35" t="str">
        <f t="shared" si="22"/>
        <v>CME</v>
      </c>
      <c r="I376" t="str" cm="1">
        <f t="array" ref="I376">IFERROR(INDEX(Spreads!A:A,MATCH(1, (Spreads!E:E=G376)*(Spreads!C:C&gt;=F376), 0)),"---")</f>
        <v>---</v>
      </c>
      <c r="J376" s="40" t="str">
        <f>IFERROR(INDEX(Spreads!C:C, MATCH('CME Data'!I376,Spreads!A:A,0)),"---")</f>
        <v>---</v>
      </c>
      <c r="K376" s="40">
        <f t="shared" si="23"/>
        <v>47833</v>
      </c>
    </row>
    <row r="377" spans="1:11" x14ac:dyDescent="0.2">
      <c r="A377" s="18" t="s">
        <v>468</v>
      </c>
      <c r="B377" s="2">
        <v>46098</v>
      </c>
      <c r="C377" s="2">
        <v>47924</v>
      </c>
      <c r="D377" s="2">
        <v>47924</v>
      </c>
      <c r="E377" s="38" t="s">
        <v>422</v>
      </c>
      <c r="F377" s="2">
        <f t="shared" si="20"/>
        <v>47924</v>
      </c>
      <c r="G377" t="str">
        <f t="shared" si="21"/>
        <v>EC</v>
      </c>
      <c r="H377" s="35" t="str">
        <f t="shared" si="22"/>
        <v>CME</v>
      </c>
      <c r="I377" t="str" cm="1">
        <f t="array" ref="I377">IFERROR(INDEX(Spreads!A:A,MATCH(1, (Spreads!E:E=G377)*(Spreads!C:C&gt;=F377), 0)),"---")</f>
        <v>---</v>
      </c>
      <c r="J377" s="40" t="str">
        <f>IFERROR(INDEX(Spreads!C:C, MATCH('CME Data'!I377,Spreads!A:A,0)),"---")</f>
        <v>---</v>
      </c>
      <c r="K377" s="40">
        <f t="shared" si="23"/>
        <v>47924</v>
      </c>
    </row>
    <row r="378" spans="1:11" x14ac:dyDescent="0.2">
      <c r="A378" s="18" t="s">
        <v>469</v>
      </c>
      <c r="B378" s="2">
        <v>46021</v>
      </c>
      <c r="C378" s="2">
        <v>46108</v>
      </c>
      <c r="D378" s="2">
        <v>46108</v>
      </c>
      <c r="E378" s="22">
        <v>46080</v>
      </c>
      <c r="F378" s="2">
        <f t="shared" si="20"/>
        <v>46080</v>
      </c>
      <c r="G378" t="str">
        <f t="shared" si="21"/>
        <v>PL</v>
      </c>
      <c r="H378" s="35" t="str">
        <f t="shared" si="22"/>
        <v>NYMEX</v>
      </c>
      <c r="I378" t="str" cm="1">
        <f t="array" ref="I378">IFERROR(INDEX(Spreads!A:A,MATCH(1, (Spreads!E:E=G378)*(Spreads!C:C&gt;=F378), 0)),"---")</f>
        <v>PLT-3.26</v>
      </c>
      <c r="J378" s="40">
        <f>IFERROR(INDEX(Spreads!C:C, MATCH('CME Data'!I378,Spreads!A:A,0)),"---")</f>
        <v>46101</v>
      </c>
      <c r="K378" s="40">
        <f t="shared" si="23"/>
        <v>46080</v>
      </c>
    </row>
    <row r="379" spans="1:11" x14ac:dyDescent="0.2">
      <c r="A379" s="18" t="s">
        <v>470</v>
      </c>
      <c r="B379" s="2">
        <v>45124</v>
      </c>
      <c r="C379" s="2">
        <v>46140</v>
      </c>
      <c r="D379" s="2">
        <v>46140</v>
      </c>
      <c r="E379" s="22">
        <v>46112</v>
      </c>
      <c r="F379" s="2">
        <f t="shared" si="20"/>
        <v>46112</v>
      </c>
      <c r="G379" t="str">
        <f t="shared" si="21"/>
        <v>PL</v>
      </c>
      <c r="H379" s="35" t="str">
        <f t="shared" si="22"/>
        <v>NYMEX</v>
      </c>
      <c r="I379" t="str" cm="1">
        <f t="array" ref="I379">IFERROR(INDEX(Spreads!A:A,MATCH(1, (Spreads!E:E=G379)*(Spreads!C:C&gt;=F379), 0)),"---")</f>
        <v>PLT-6.26</v>
      </c>
      <c r="J379" s="40">
        <f>IFERROR(INDEX(Spreads!C:C, MATCH('CME Data'!I379,Spreads!A:A,0)),"---")</f>
        <v>46192</v>
      </c>
      <c r="K379" s="40">
        <f t="shared" si="23"/>
        <v>46112</v>
      </c>
    </row>
    <row r="380" spans="1:11" x14ac:dyDescent="0.2">
      <c r="A380" s="18" t="s">
        <v>471</v>
      </c>
      <c r="B380" s="2">
        <v>46079</v>
      </c>
      <c r="C380" s="2">
        <v>46169</v>
      </c>
      <c r="D380" s="2">
        <v>46169</v>
      </c>
      <c r="E380" s="22">
        <v>46142</v>
      </c>
      <c r="F380" s="2">
        <f t="shared" si="20"/>
        <v>46142</v>
      </c>
      <c r="G380" t="str">
        <f t="shared" si="21"/>
        <v>PL</v>
      </c>
      <c r="H380" s="35" t="str">
        <f t="shared" si="22"/>
        <v>NYMEX</v>
      </c>
      <c r="I380" t="str" cm="1">
        <f t="array" ref="I380">IFERROR(INDEX(Spreads!A:A,MATCH(1, (Spreads!E:E=G380)*(Spreads!C:C&gt;=F380), 0)),"---")</f>
        <v>PLT-6.26</v>
      </c>
      <c r="J380" s="40">
        <f>IFERROR(INDEX(Spreads!C:C, MATCH('CME Data'!I380,Spreads!A:A,0)),"---")</f>
        <v>46192</v>
      </c>
      <c r="K380" s="40">
        <f t="shared" si="23"/>
        <v>46142</v>
      </c>
    </row>
    <row r="381" spans="1:11" x14ac:dyDescent="0.2">
      <c r="A381" s="18" t="s">
        <v>472</v>
      </c>
      <c r="B381" s="2">
        <v>46111</v>
      </c>
      <c r="C381" s="2">
        <v>46199</v>
      </c>
      <c r="D381" s="2">
        <v>46199</v>
      </c>
      <c r="E381" s="22">
        <v>46171</v>
      </c>
      <c r="F381" s="2">
        <f t="shared" ref="F381:F406" si="24">MIN(C381:E381)</f>
        <v>46171</v>
      </c>
      <c r="G381" t="str">
        <f t="shared" ref="G381:G426" si="25">MID(A381,1,LEN(A381)-3)</f>
        <v>PL</v>
      </c>
      <c r="H381" s="35" t="str">
        <f t="shared" si="22"/>
        <v>NYMEX</v>
      </c>
      <c r="I381" t="str" cm="1">
        <f t="array" ref="I381">IFERROR(INDEX(Spreads!A:A,MATCH(1, (Spreads!E:E=G381)*(Spreads!C:C&gt;=F381), 0)),"---")</f>
        <v>PLT-6.26</v>
      </c>
      <c r="J381" s="40">
        <f>IFERROR(INDEX(Spreads!C:C, MATCH('CME Data'!I381,Spreads!A:A,0)),"---")</f>
        <v>46192</v>
      </c>
      <c r="K381" s="40">
        <f t="shared" si="23"/>
        <v>46171</v>
      </c>
    </row>
    <row r="382" spans="1:11" x14ac:dyDescent="0.2">
      <c r="A382" s="18" t="s">
        <v>473</v>
      </c>
      <c r="B382" s="2">
        <v>45135</v>
      </c>
      <c r="C382" s="2">
        <v>46232</v>
      </c>
      <c r="D382" s="2">
        <v>46232</v>
      </c>
      <c r="E382" s="22">
        <v>46203</v>
      </c>
      <c r="F382" s="2">
        <f t="shared" si="24"/>
        <v>46203</v>
      </c>
      <c r="G382" t="str">
        <f t="shared" si="25"/>
        <v>PL</v>
      </c>
      <c r="H382" s="35" t="str">
        <f t="shared" si="22"/>
        <v>NYMEX</v>
      </c>
      <c r="I382" t="str" cm="1">
        <f t="array" ref="I382">IFERROR(INDEX(Spreads!A:A,MATCH(1, (Spreads!E:E=G382)*(Spreads!C:C&gt;=F382), 0)),"---")</f>
        <v>PLT-9.26</v>
      </c>
      <c r="J382" s="40">
        <f>IFERROR(INDEX(Spreads!C:C, MATCH('CME Data'!I382,Spreads!A:A,0)),"---")</f>
        <v>46283</v>
      </c>
      <c r="K382" s="40">
        <f t="shared" si="23"/>
        <v>46203</v>
      </c>
    </row>
    <row r="383" spans="1:11" x14ac:dyDescent="0.2">
      <c r="A383" s="18" t="s">
        <v>474</v>
      </c>
      <c r="B383" s="2">
        <v>45229</v>
      </c>
      <c r="C383" s="2">
        <v>46323</v>
      </c>
      <c r="D383" s="2">
        <v>46323</v>
      </c>
      <c r="E383" s="22">
        <v>46295</v>
      </c>
      <c r="F383" s="2">
        <f t="shared" si="24"/>
        <v>46295</v>
      </c>
      <c r="G383" t="str">
        <f t="shared" si="25"/>
        <v>PL</v>
      </c>
      <c r="H383" s="35" t="str">
        <f t="shared" si="22"/>
        <v>NYMEX</v>
      </c>
      <c r="I383" t="str" cm="1">
        <f t="array" ref="I383">IFERROR(INDEX(Spreads!A:A,MATCH(1, (Spreads!E:E=G383)*(Spreads!C:C&gt;=F383), 0)),"---")</f>
        <v>PLT-12.26</v>
      </c>
      <c r="J383" s="40">
        <f>IFERROR(INDEX(Spreads!C:C, MATCH('CME Data'!I383,Spreads!A:A,0)),"---")</f>
        <v>46374</v>
      </c>
      <c r="K383" s="40">
        <f t="shared" si="23"/>
        <v>46295</v>
      </c>
    </row>
    <row r="384" spans="1:11" x14ac:dyDescent="0.2">
      <c r="A384" s="18" t="s">
        <v>475</v>
      </c>
      <c r="B384" s="2">
        <v>45321</v>
      </c>
      <c r="C384" s="2">
        <v>46414</v>
      </c>
      <c r="D384" s="2">
        <v>46414</v>
      </c>
      <c r="E384" s="22">
        <v>46387</v>
      </c>
      <c r="F384" s="2">
        <f t="shared" si="24"/>
        <v>46387</v>
      </c>
      <c r="G384" t="str">
        <f t="shared" si="25"/>
        <v>PL</v>
      </c>
      <c r="H384" s="35" t="str">
        <f t="shared" si="22"/>
        <v>NYMEX</v>
      </c>
      <c r="I384" t="str" cm="1">
        <f t="array" ref="I384">IFERROR(INDEX(Spreads!A:A,MATCH(1, (Spreads!E:E=G384)*(Spreads!C:C&gt;=F384), 0)),"---")</f>
        <v>---</v>
      </c>
      <c r="J384" s="40" t="str">
        <f>IFERROR(INDEX(Spreads!C:C, MATCH('CME Data'!I384,Spreads!A:A,0)),"---")</f>
        <v>---</v>
      </c>
      <c r="K384" s="40">
        <f t="shared" si="23"/>
        <v>46387</v>
      </c>
    </row>
    <row r="385" spans="1:11" x14ac:dyDescent="0.2">
      <c r="A385" s="18" t="s">
        <v>476</v>
      </c>
      <c r="B385" s="2">
        <v>45411</v>
      </c>
      <c r="C385" s="2">
        <v>46505</v>
      </c>
      <c r="D385" s="2">
        <v>46505</v>
      </c>
      <c r="E385" s="22">
        <v>46477</v>
      </c>
      <c r="F385" s="2">
        <f t="shared" si="24"/>
        <v>46477</v>
      </c>
      <c r="G385" t="str">
        <f t="shared" si="25"/>
        <v>PL</v>
      </c>
      <c r="H385" s="35" t="str">
        <f t="shared" si="22"/>
        <v>NYMEX</v>
      </c>
      <c r="I385" t="str" cm="1">
        <f t="array" ref="I385">IFERROR(INDEX(Spreads!A:A,MATCH(1, (Spreads!E:E=G385)*(Spreads!C:C&gt;=F385), 0)),"---")</f>
        <v>---</v>
      </c>
      <c r="J385" s="40" t="str">
        <f>IFERROR(INDEX(Spreads!C:C, MATCH('CME Data'!I385,Spreads!A:A,0)),"---")</f>
        <v>---</v>
      </c>
      <c r="K385" s="40">
        <f t="shared" si="23"/>
        <v>46477</v>
      </c>
    </row>
    <row r="386" spans="1:11" x14ac:dyDescent="0.2">
      <c r="A386" s="18" t="s">
        <v>477</v>
      </c>
      <c r="B386" s="2">
        <v>45503</v>
      </c>
      <c r="C386" s="2">
        <v>46596</v>
      </c>
      <c r="D386" s="2">
        <v>46596</v>
      </c>
      <c r="E386" s="22">
        <v>46568</v>
      </c>
      <c r="F386" s="2">
        <f t="shared" si="24"/>
        <v>46568</v>
      </c>
      <c r="G386" t="str">
        <f t="shared" si="25"/>
        <v>PL</v>
      </c>
      <c r="H386" s="35" t="str">
        <f t="shared" si="22"/>
        <v>NYMEX</v>
      </c>
      <c r="I386" t="str" cm="1">
        <f t="array" ref="I386">IFERROR(INDEX(Spreads!A:A,MATCH(1, (Spreads!E:E=G386)*(Spreads!C:C&gt;=F386), 0)),"---")</f>
        <v>---</v>
      </c>
      <c r="J386" s="40" t="str">
        <f>IFERROR(INDEX(Spreads!C:C, MATCH('CME Data'!I386,Spreads!A:A,0)),"---")</f>
        <v>---</v>
      </c>
      <c r="K386" s="40">
        <f t="shared" si="23"/>
        <v>46568</v>
      </c>
    </row>
    <row r="387" spans="1:11" x14ac:dyDescent="0.2">
      <c r="A387" s="18" t="s">
        <v>478</v>
      </c>
      <c r="B387" s="2">
        <v>45595</v>
      </c>
      <c r="C387" s="2">
        <v>46687</v>
      </c>
      <c r="D387" s="2">
        <v>46687</v>
      </c>
      <c r="E387" s="22">
        <v>46660</v>
      </c>
      <c r="F387" s="2">
        <f t="shared" si="24"/>
        <v>46660</v>
      </c>
      <c r="G387" t="str">
        <f t="shared" si="25"/>
        <v>PL</v>
      </c>
      <c r="H387" s="35" t="str">
        <f t="shared" ref="H387:H426" si="26">IFERROR(INDEX(O:O, MATCH(G387,N:N,0)),"---")</f>
        <v>NYMEX</v>
      </c>
      <c r="I387" t="str" cm="1">
        <f t="array" ref="I387">IFERROR(INDEX(Spreads!A:A,MATCH(1, (Spreads!E:E=G387)*(Spreads!C:C&gt;=F387), 0)),"---")</f>
        <v>---</v>
      </c>
      <c r="J387" s="40" t="str">
        <f>IFERROR(INDEX(Spreads!C:C, MATCH('CME Data'!I387,Spreads!A:A,0)),"---")</f>
        <v>---</v>
      </c>
      <c r="K387" s="40">
        <f t="shared" si="23"/>
        <v>46660</v>
      </c>
    </row>
    <row r="388" spans="1:11" x14ac:dyDescent="0.2">
      <c r="A388" s="18" t="s">
        <v>479</v>
      </c>
      <c r="B388" s="2">
        <v>45687</v>
      </c>
      <c r="C388" s="2">
        <v>46779</v>
      </c>
      <c r="D388" s="2">
        <v>46779</v>
      </c>
      <c r="E388" s="22">
        <v>46752</v>
      </c>
      <c r="F388" s="2">
        <f t="shared" si="24"/>
        <v>46752</v>
      </c>
      <c r="G388" t="str">
        <f t="shared" si="25"/>
        <v>PL</v>
      </c>
      <c r="H388" s="35" t="str">
        <f t="shared" si="26"/>
        <v>NYMEX</v>
      </c>
      <c r="I388" t="str" cm="1">
        <f t="array" ref="I388">IFERROR(INDEX(Spreads!A:A,MATCH(1, (Spreads!E:E=G388)*(Spreads!C:C&gt;=F388), 0)),"---")</f>
        <v>---</v>
      </c>
      <c r="J388" s="40" t="str">
        <f>IFERROR(INDEX(Spreads!C:C, MATCH('CME Data'!I388,Spreads!A:A,0)),"---")</f>
        <v>---</v>
      </c>
      <c r="K388" s="40">
        <f t="shared" ref="K388:K426" si="27">MIN(J388,F388)</f>
        <v>46752</v>
      </c>
    </row>
    <row r="389" spans="1:11" x14ac:dyDescent="0.2">
      <c r="A389" s="18" t="s">
        <v>480</v>
      </c>
      <c r="B389" s="2">
        <v>45776</v>
      </c>
      <c r="C389" s="2">
        <v>46869</v>
      </c>
      <c r="D389" s="2">
        <v>46869</v>
      </c>
      <c r="E389" s="22">
        <v>46843</v>
      </c>
      <c r="F389" s="2">
        <f t="shared" si="24"/>
        <v>46843</v>
      </c>
      <c r="G389" t="str">
        <f t="shared" si="25"/>
        <v>PL</v>
      </c>
      <c r="H389" s="35" t="str">
        <f t="shared" si="26"/>
        <v>NYMEX</v>
      </c>
      <c r="I389" t="str" cm="1">
        <f t="array" ref="I389">IFERROR(INDEX(Spreads!A:A,MATCH(1, (Spreads!E:E=G389)*(Spreads!C:C&gt;=F389), 0)),"---")</f>
        <v>---</v>
      </c>
      <c r="J389" s="40" t="str">
        <f>IFERROR(INDEX(Spreads!C:C, MATCH('CME Data'!I389,Spreads!A:A,0)),"---")</f>
        <v>---</v>
      </c>
      <c r="K389" s="40">
        <f t="shared" si="27"/>
        <v>46843</v>
      </c>
    </row>
    <row r="390" spans="1:11" x14ac:dyDescent="0.2">
      <c r="A390" s="18" t="s">
        <v>481</v>
      </c>
      <c r="B390" s="2">
        <v>45868</v>
      </c>
      <c r="C390" s="2">
        <v>46961</v>
      </c>
      <c r="D390" s="2">
        <v>46961</v>
      </c>
      <c r="E390" s="22">
        <v>46934</v>
      </c>
      <c r="F390" s="2">
        <f t="shared" si="24"/>
        <v>46934</v>
      </c>
      <c r="G390" t="str">
        <f t="shared" si="25"/>
        <v>PL</v>
      </c>
      <c r="H390" s="35" t="str">
        <f t="shared" si="26"/>
        <v>NYMEX</v>
      </c>
      <c r="I390" t="str" cm="1">
        <f t="array" ref="I390">IFERROR(INDEX(Spreads!A:A,MATCH(1, (Spreads!E:E=G390)*(Spreads!C:C&gt;=F390), 0)),"---")</f>
        <v>---</v>
      </c>
      <c r="J390" s="40" t="str">
        <f>IFERROR(INDEX(Spreads!C:C, MATCH('CME Data'!I390,Spreads!A:A,0)),"---")</f>
        <v>---</v>
      </c>
      <c r="K390" s="40">
        <f t="shared" si="27"/>
        <v>46934</v>
      </c>
    </row>
    <row r="391" spans="1:11" x14ac:dyDescent="0.2">
      <c r="A391" s="18" t="s">
        <v>482</v>
      </c>
      <c r="B391" s="2">
        <v>45960</v>
      </c>
      <c r="C391" s="2">
        <v>47053</v>
      </c>
      <c r="D391" s="2">
        <v>47053</v>
      </c>
      <c r="E391" s="22">
        <v>47025</v>
      </c>
      <c r="F391" s="2">
        <f t="shared" si="24"/>
        <v>47025</v>
      </c>
      <c r="G391" t="str">
        <f t="shared" si="25"/>
        <v>PL</v>
      </c>
      <c r="H391" s="35" t="str">
        <f t="shared" si="26"/>
        <v>NYMEX</v>
      </c>
      <c r="I391" t="str" cm="1">
        <f t="array" ref="I391">IFERROR(INDEX(Spreads!A:A,MATCH(1, (Spreads!E:E=G391)*(Spreads!C:C&gt;=F391), 0)),"---")</f>
        <v>---</v>
      </c>
      <c r="J391" s="40" t="str">
        <f>IFERROR(INDEX(Spreads!C:C, MATCH('CME Data'!I391,Spreads!A:A,0)),"---")</f>
        <v>---</v>
      </c>
      <c r="K391" s="40">
        <f t="shared" si="27"/>
        <v>47025</v>
      </c>
    </row>
    <row r="392" spans="1:11" x14ac:dyDescent="0.2">
      <c r="A392" s="18" t="s">
        <v>483</v>
      </c>
      <c r="B392" s="2">
        <v>46051</v>
      </c>
      <c r="C392" s="2">
        <v>47147</v>
      </c>
      <c r="D392" s="2">
        <v>47147</v>
      </c>
      <c r="E392" s="22">
        <v>47116</v>
      </c>
      <c r="F392" s="2">
        <f t="shared" si="24"/>
        <v>47116</v>
      </c>
      <c r="G392" t="str">
        <f t="shared" si="25"/>
        <v>PL</v>
      </c>
      <c r="H392" s="35" t="str">
        <f t="shared" si="26"/>
        <v>NYMEX</v>
      </c>
      <c r="I392" t="str" cm="1">
        <f t="array" ref="I392">IFERROR(INDEX(Spreads!A:A,MATCH(1, (Spreads!E:E=G392)*(Spreads!C:C&gt;=F392), 0)),"---")</f>
        <v>---</v>
      </c>
      <c r="J392" s="40" t="str">
        <f>IFERROR(INDEX(Spreads!C:C, MATCH('CME Data'!I392,Spreads!A:A,0)),"---")</f>
        <v>---</v>
      </c>
      <c r="K392" s="40">
        <f t="shared" si="27"/>
        <v>47116</v>
      </c>
    </row>
    <row r="393" spans="1:11" x14ac:dyDescent="0.2">
      <c r="A393" s="18" t="s">
        <v>484</v>
      </c>
      <c r="B393" s="2">
        <v>45124</v>
      </c>
      <c r="C393" s="2">
        <v>46108</v>
      </c>
      <c r="D393" s="2">
        <v>46108</v>
      </c>
      <c r="E393" s="22">
        <v>46080</v>
      </c>
      <c r="F393" s="2">
        <f t="shared" si="24"/>
        <v>46080</v>
      </c>
      <c r="G393" t="str">
        <f t="shared" si="25"/>
        <v>PA</v>
      </c>
      <c r="H393" s="35" t="str">
        <f t="shared" si="26"/>
        <v>NYMEX</v>
      </c>
      <c r="I393" t="str" cm="1">
        <f t="array" ref="I393">IFERROR(INDEX(Spreads!A:A,MATCH(1, (Spreads!E:E=G393)*(Spreads!C:C&gt;=F393), 0)),"---")</f>
        <v>PLD-3.26</v>
      </c>
      <c r="J393" s="40">
        <f>IFERROR(INDEX(Spreads!C:C, MATCH('CME Data'!I393,Spreads!A:A,0)),"---")</f>
        <v>46101</v>
      </c>
      <c r="K393" s="40">
        <f t="shared" si="27"/>
        <v>46080</v>
      </c>
    </row>
    <row r="394" spans="1:11" x14ac:dyDescent="0.2">
      <c r="A394" s="18" t="s">
        <v>485</v>
      </c>
      <c r="B394" s="2">
        <v>46051</v>
      </c>
      <c r="C394" s="2">
        <v>46140</v>
      </c>
      <c r="D394" s="2">
        <v>46140</v>
      </c>
      <c r="E394" s="22">
        <v>46112</v>
      </c>
      <c r="F394" s="2">
        <f t="shared" si="24"/>
        <v>46112</v>
      </c>
      <c r="G394" t="str">
        <f t="shared" si="25"/>
        <v>PA</v>
      </c>
      <c r="H394" s="35" t="str">
        <f t="shared" si="26"/>
        <v>NYMEX</v>
      </c>
      <c r="I394" t="str" cm="1">
        <f t="array" ref="I394">IFERROR(INDEX(Spreads!A:A,MATCH(1, (Spreads!E:E=G394)*(Spreads!C:C&gt;=F394), 0)),"---")</f>
        <v>PLD-6.26</v>
      </c>
      <c r="J394" s="40">
        <f>IFERROR(INDEX(Spreads!C:C, MATCH('CME Data'!I394,Spreads!A:A,0)),"---")</f>
        <v>46192</v>
      </c>
      <c r="K394" s="40">
        <f t="shared" si="27"/>
        <v>46112</v>
      </c>
    </row>
    <row r="395" spans="1:11" x14ac:dyDescent="0.2">
      <c r="A395" s="18" t="s">
        <v>486</v>
      </c>
      <c r="B395" s="2">
        <v>46079</v>
      </c>
      <c r="C395" s="2">
        <v>46169</v>
      </c>
      <c r="D395" s="2">
        <v>46169</v>
      </c>
      <c r="E395" s="22">
        <v>46142</v>
      </c>
      <c r="F395" s="2">
        <f t="shared" si="24"/>
        <v>46142</v>
      </c>
      <c r="G395" t="str">
        <f t="shared" si="25"/>
        <v>PA</v>
      </c>
      <c r="H395" s="35" t="str">
        <f t="shared" si="26"/>
        <v>NYMEX</v>
      </c>
      <c r="I395" t="str" cm="1">
        <f t="array" ref="I395">IFERROR(INDEX(Spreads!A:A,MATCH(1, (Spreads!E:E=G395)*(Spreads!C:C&gt;=F395), 0)),"---")</f>
        <v>PLD-6.26</v>
      </c>
      <c r="J395" s="40">
        <f>IFERROR(INDEX(Spreads!C:C, MATCH('CME Data'!I395,Spreads!A:A,0)),"---")</f>
        <v>46192</v>
      </c>
      <c r="K395" s="40">
        <f t="shared" si="27"/>
        <v>46142</v>
      </c>
    </row>
    <row r="396" spans="1:11" x14ac:dyDescent="0.2">
      <c r="A396" s="18" t="s">
        <v>487</v>
      </c>
      <c r="B396" s="2">
        <v>45124</v>
      </c>
      <c r="C396" s="2">
        <v>46199</v>
      </c>
      <c r="D396" s="2">
        <v>46199</v>
      </c>
      <c r="E396" s="22">
        <v>46171</v>
      </c>
      <c r="F396" s="2">
        <f t="shared" si="24"/>
        <v>46171</v>
      </c>
      <c r="G396" t="str">
        <f t="shared" si="25"/>
        <v>PA</v>
      </c>
      <c r="H396" s="35" t="str">
        <f t="shared" si="26"/>
        <v>NYMEX</v>
      </c>
      <c r="I396" t="str" cm="1">
        <f t="array" ref="I396">IFERROR(INDEX(Spreads!A:A,MATCH(1, (Spreads!E:E=G396)*(Spreads!C:C&gt;=F396), 0)),"---")</f>
        <v>PLD-6.26</v>
      </c>
      <c r="J396" s="40">
        <f>IFERROR(INDEX(Spreads!C:C, MATCH('CME Data'!I396,Spreads!A:A,0)),"---")</f>
        <v>46192</v>
      </c>
      <c r="K396" s="40">
        <f t="shared" si="27"/>
        <v>46171</v>
      </c>
    </row>
    <row r="397" spans="1:11" x14ac:dyDescent="0.2">
      <c r="A397" s="18" t="s">
        <v>488</v>
      </c>
      <c r="B397" s="2">
        <v>45197</v>
      </c>
      <c r="C397" s="2">
        <v>46293</v>
      </c>
      <c r="D397" s="2">
        <v>46293</v>
      </c>
      <c r="E397" s="22">
        <v>46265</v>
      </c>
      <c r="F397" s="2">
        <f t="shared" si="24"/>
        <v>46265</v>
      </c>
      <c r="G397" t="str">
        <f t="shared" si="25"/>
        <v>PA</v>
      </c>
      <c r="H397" s="35" t="str">
        <f t="shared" si="26"/>
        <v>NYMEX</v>
      </c>
      <c r="I397" t="str" cm="1">
        <f t="array" ref="I397">IFERROR(INDEX(Spreads!A:A,MATCH(1, (Spreads!E:E=G397)*(Spreads!C:C&gt;=F397), 0)),"---")</f>
        <v>PLD-9.26</v>
      </c>
      <c r="J397" s="40">
        <f>IFERROR(INDEX(Spreads!C:C, MATCH('CME Data'!I397,Spreads!A:A,0)),"---")</f>
        <v>46283</v>
      </c>
      <c r="K397" s="40">
        <f t="shared" si="27"/>
        <v>46265</v>
      </c>
    </row>
    <row r="398" spans="1:11" x14ac:dyDescent="0.2">
      <c r="A398" s="18" t="s">
        <v>489</v>
      </c>
      <c r="B398" s="2">
        <v>45288</v>
      </c>
      <c r="C398" s="2">
        <v>46385</v>
      </c>
      <c r="D398" s="2">
        <v>46385</v>
      </c>
      <c r="E398" s="22">
        <v>46356</v>
      </c>
      <c r="F398" s="2">
        <f t="shared" si="24"/>
        <v>46356</v>
      </c>
      <c r="G398" t="str">
        <f t="shared" si="25"/>
        <v>PA</v>
      </c>
      <c r="H398" s="35" t="str">
        <f t="shared" si="26"/>
        <v>NYMEX</v>
      </c>
      <c r="I398" t="str" cm="1">
        <f t="array" ref="I398">IFERROR(INDEX(Spreads!A:A,MATCH(1, (Spreads!E:E=G398)*(Spreads!C:C&gt;=F398), 0)),"---")</f>
        <v>PLD-12.26</v>
      </c>
      <c r="J398" s="40">
        <f>IFERROR(INDEX(Spreads!C:C, MATCH('CME Data'!I398,Spreads!A:A,0)),"---")</f>
        <v>46374</v>
      </c>
      <c r="K398" s="40">
        <f t="shared" si="27"/>
        <v>46356</v>
      </c>
    </row>
    <row r="399" spans="1:11" x14ac:dyDescent="0.2">
      <c r="A399" s="18" t="s">
        <v>490</v>
      </c>
      <c r="B399" s="2">
        <v>45378</v>
      </c>
      <c r="C399" s="2">
        <v>46475</v>
      </c>
      <c r="D399" s="2">
        <v>46475</v>
      </c>
      <c r="E399" s="22">
        <v>46444</v>
      </c>
      <c r="F399" s="2">
        <f t="shared" si="24"/>
        <v>46444</v>
      </c>
      <c r="G399" t="str">
        <f t="shared" si="25"/>
        <v>PA</v>
      </c>
      <c r="H399" s="35" t="str">
        <f t="shared" si="26"/>
        <v>NYMEX</v>
      </c>
      <c r="I399" t="str" cm="1">
        <f t="array" ref="I399">IFERROR(INDEX(Spreads!A:A,MATCH(1, (Spreads!E:E=G399)*(Spreads!C:C&gt;=F399), 0)),"---")</f>
        <v>---</v>
      </c>
      <c r="J399" s="40" t="str">
        <f>IFERROR(INDEX(Spreads!C:C, MATCH('CME Data'!I399,Spreads!A:A,0)),"---")</f>
        <v>---</v>
      </c>
      <c r="K399" s="40">
        <f t="shared" si="27"/>
        <v>46444</v>
      </c>
    </row>
    <row r="400" spans="1:11" x14ac:dyDescent="0.2">
      <c r="A400" s="18" t="s">
        <v>491</v>
      </c>
      <c r="B400" s="2">
        <v>45470</v>
      </c>
      <c r="C400" s="2">
        <v>46566</v>
      </c>
      <c r="D400" s="2">
        <v>46566</v>
      </c>
      <c r="E400" s="22">
        <v>46535</v>
      </c>
      <c r="F400" s="2">
        <f t="shared" si="24"/>
        <v>46535</v>
      </c>
      <c r="G400" t="str">
        <f t="shared" si="25"/>
        <v>PA</v>
      </c>
      <c r="H400" s="35" t="str">
        <f t="shared" si="26"/>
        <v>NYMEX</v>
      </c>
      <c r="I400" t="str" cm="1">
        <f t="array" ref="I400">IFERROR(INDEX(Spreads!A:A,MATCH(1, (Spreads!E:E=G400)*(Spreads!C:C&gt;=F400), 0)),"---")</f>
        <v>---</v>
      </c>
      <c r="J400" s="40" t="str">
        <f>IFERROR(INDEX(Spreads!C:C, MATCH('CME Data'!I400,Spreads!A:A,0)),"---")</f>
        <v>---</v>
      </c>
      <c r="K400" s="40">
        <f t="shared" si="27"/>
        <v>46535</v>
      </c>
    </row>
    <row r="401" spans="1:11" x14ac:dyDescent="0.2">
      <c r="A401" s="18" t="s">
        <v>492</v>
      </c>
      <c r="B401" s="2">
        <v>45562</v>
      </c>
      <c r="C401" s="2">
        <v>46658</v>
      </c>
      <c r="D401" s="2">
        <v>46658</v>
      </c>
      <c r="E401" s="22">
        <v>46630</v>
      </c>
      <c r="F401" s="2">
        <f t="shared" si="24"/>
        <v>46630</v>
      </c>
      <c r="G401" t="str">
        <f t="shared" si="25"/>
        <v>PA</v>
      </c>
      <c r="H401" s="35" t="str">
        <f t="shared" si="26"/>
        <v>NYMEX</v>
      </c>
      <c r="I401" t="str" cm="1">
        <f t="array" ref="I401">IFERROR(INDEX(Spreads!A:A,MATCH(1, (Spreads!E:E=G401)*(Spreads!C:C&gt;=F401), 0)),"---")</f>
        <v>---</v>
      </c>
      <c r="J401" s="40" t="str">
        <f>IFERROR(INDEX(Spreads!C:C, MATCH('CME Data'!I401,Spreads!A:A,0)),"---")</f>
        <v>---</v>
      </c>
      <c r="K401" s="40">
        <f t="shared" si="27"/>
        <v>46630</v>
      </c>
    </row>
    <row r="402" spans="1:11" x14ac:dyDescent="0.2">
      <c r="A402" s="18" t="s">
        <v>493</v>
      </c>
      <c r="B402" s="2">
        <v>45656</v>
      </c>
      <c r="C402" s="2">
        <v>46750</v>
      </c>
      <c r="D402" s="2">
        <v>46750</v>
      </c>
      <c r="E402" s="22">
        <v>46721</v>
      </c>
      <c r="F402" s="2">
        <f t="shared" si="24"/>
        <v>46721</v>
      </c>
      <c r="G402" t="str">
        <f t="shared" si="25"/>
        <v>PA</v>
      </c>
      <c r="H402" s="35" t="str">
        <f t="shared" si="26"/>
        <v>NYMEX</v>
      </c>
      <c r="I402" t="str" cm="1">
        <f t="array" ref="I402">IFERROR(INDEX(Spreads!A:A,MATCH(1, (Spreads!E:E=G402)*(Spreads!C:C&gt;=F402), 0)),"---")</f>
        <v>---</v>
      </c>
      <c r="J402" s="40" t="str">
        <f>IFERROR(INDEX(Spreads!C:C, MATCH('CME Data'!I402,Spreads!A:A,0)),"---")</f>
        <v>---</v>
      </c>
      <c r="K402" s="40">
        <f t="shared" si="27"/>
        <v>46721</v>
      </c>
    </row>
    <row r="403" spans="1:11" x14ac:dyDescent="0.2">
      <c r="A403" s="18" t="s">
        <v>494</v>
      </c>
      <c r="B403" s="2">
        <v>45744</v>
      </c>
      <c r="C403" s="2">
        <v>46841</v>
      </c>
      <c r="D403" s="2">
        <v>46841</v>
      </c>
      <c r="E403" s="22">
        <v>46812</v>
      </c>
      <c r="F403" s="2">
        <f t="shared" si="24"/>
        <v>46812</v>
      </c>
      <c r="G403" t="str">
        <f t="shared" si="25"/>
        <v>PA</v>
      </c>
      <c r="H403" s="35" t="str">
        <f t="shared" si="26"/>
        <v>NYMEX</v>
      </c>
      <c r="I403" t="str" cm="1">
        <f t="array" ref="I403">IFERROR(INDEX(Spreads!A:A,MATCH(1, (Spreads!E:E=G403)*(Spreads!C:C&gt;=F403), 0)),"---")</f>
        <v>---</v>
      </c>
      <c r="J403" s="40" t="str">
        <f>IFERROR(INDEX(Spreads!C:C, MATCH('CME Data'!I403,Spreads!A:A,0)),"---")</f>
        <v>---</v>
      </c>
      <c r="K403" s="40">
        <f t="shared" si="27"/>
        <v>46812</v>
      </c>
    </row>
    <row r="404" spans="1:11" x14ac:dyDescent="0.2">
      <c r="A404" s="18" t="s">
        <v>495</v>
      </c>
      <c r="B404" s="2">
        <v>45835</v>
      </c>
      <c r="C404" s="2">
        <v>46932</v>
      </c>
      <c r="D404" s="2">
        <v>46932</v>
      </c>
      <c r="E404" s="22">
        <v>46904</v>
      </c>
      <c r="F404" s="2">
        <f t="shared" si="24"/>
        <v>46904</v>
      </c>
      <c r="G404" t="str">
        <f t="shared" si="25"/>
        <v>PA</v>
      </c>
      <c r="H404" s="35" t="str">
        <f t="shared" si="26"/>
        <v>NYMEX</v>
      </c>
      <c r="I404" t="str" cm="1">
        <f t="array" ref="I404">IFERROR(INDEX(Spreads!A:A,MATCH(1, (Spreads!E:E=G404)*(Spreads!C:C&gt;=F404), 0)),"---")</f>
        <v>---</v>
      </c>
      <c r="J404" s="40" t="str">
        <f>IFERROR(INDEX(Spreads!C:C, MATCH('CME Data'!I404,Spreads!A:A,0)),"---")</f>
        <v>---</v>
      </c>
      <c r="K404" s="40">
        <f t="shared" si="27"/>
        <v>46904</v>
      </c>
    </row>
    <row r="405" spans="1:11" x14ac:dyDescent="0.2">
      <c r="A405" s="18" t="s">
        <v>496</v>
      </c>
      <c r="B405" s="2">
        <v>45929</v>
      </c>
      <c r="C405" s="2">
        <v>47023</v>
      </c>
      <c r="D405" s="2">
        <v>47023</v>
      </c>
      <c r="E405" s="22">
        <v>46996</v>
      </c>
      <c r="F405" s="2">
        <f t="shared" si="24"/>
        <v>46996</v>
      </c>
      <c r="G405" t="str">
        <f t="shared" si="25"/>
        <v>PA</v>
      </c>
      <c r="H405" s="35" t="str">
        <f t="shared" si="26"/>
        <v>NYMEX</v>
      </c>
      <c r="I405" t="str" cm="1">
        <f t="array" ref="I405">IFERROR(INDEX(Spreads!A:A,MATCH(1, (Spreads!E:E=G405)*(Spreads!C:C&gt;=F405), 0)),"---")</f>
        <v>---</v>
      </c>
      <c r="J405" s="40" t="str">
        <f>IFERROR(INDEX(Spreads!C:C, MATCH('CME Data'!I405,Spreads!A:A,0)),"---")</f>
        <v>---</v>
      </c>
      <c r="K405" s="40">
        <f t="shared" si="27"/>
        <v>46996</v>
      </c>
    </row>
    <row r="406" spans="1:11" x14ac:dyDescent="0.2">
      <c r="A406" s="18" t="s">
        <v>497</v>
      </c>
      <c r="B406" s="2">
        <v>46021</v>
      </c>
      <c r="C406" s="2">
        <v>47114</v>
      </c>
      <c r="D406" s="2">
        <v>47114</v>
      </c>
      <c r="E406" s="22">
        <v>47087</v>
      </c>
      <c r="F406" s="2">
        <f t="shared" si="24"/>
        <v>47087</v>
      </c>
      <c r="G406" t="str">
        <f t="shared" si="25"/>
        <v>PA</v>
      </c>
      <c r="H406" s="35" t="str">
        <f t="shared" si="26"/>
        <v>NYMEX</v>
      </c>
      <c r="I406" t="str" cm="1">
        <f t="array" ref="I406">IFERROR(INDEX(Spreads!A:A,MATCH(1, (Spreads!E:E=G406)*(Spreads!C:C&gt;=F406), 0)),"---")</f>
        <v>---</v>
      </c>
      <c r="J406" s="40" t="str">
        <f>IFERROR(INDEX(Spreads!C:C, MATCH('CME Data'!I406,Spreads!A:A,0)),"---")</f>
        <v>---</v>
      </c>
      <c r="K406" s="40">
        <f t="shared" si="27"/>
        <v>47087</v>
      </c>
    </row>
    <row r="407" spans="1:11" x14ac:dyDescent="0.2">
      <c r="A407" s="18" t="s">
        <v>498</v>
      </c>
      <c r="B407" s="2">
        <v>46111</v>
      </c>
      <c r="C407" s="2">
        <v>47204</v>
      </c>
      <c r="D407" s="2">
        <v>47204</v>
      </c>
      <c r="E407" s="22">
        <v>47177</v>
      </c>
      <c r="F407" s="2">
        <f>MIN(C407:E407)</f>
        <v>47177</v>
      </c>
      <c r="G407" t="str">
        <f t="shared" si="25"/>
        <v>PA</v>
      </c>
      <c r="H407" s="35" t="str">
        <f t="shared" si="26"/>
        <v>NYMEX</v>
      </c>
      <c r="I407" t="str" cm="1">
        <f t="array" ref="I407">IFERROR(INDEX(Spreads!A:A,MATCH(1, (Spreads!E:E=G407)*(Spreads!C:C&gt;=F407), 0)),"---")</f>
        <v>---</v>
      </c>
      <c r="J407" s="40" t="str">
        <f>IFERROR(INDEX(Spreads!C:C, MATCH('CME Data'!I407,Spreads!A:A,0)),"---")</f>
        <v>---</v>
      </c>
      <c r="K407" s="40">
        <f t="shared" si="27"/>
        <v>47177</v>
      </c>
    </row>
    <row r="408" spans="1:11" x14ac:dyDescent="0.2">
      <c r="A408" s="18" t="s">
        <v>547</v>
      </c>
      <c r="B408" s="2">
        <v>45646</v>
      </c>
      <c r="C408" s="2">
        <v>46101</v>
      </c>
      <c r="D408" s="2">
        <v>46101</v>
      </c>
      <c r="E408" s="22" t="s">
        <v>422</v>
      </c>
      <c r="F408" s="2">
        <f t="shared" ref="F408:F426" si="28">MIN(C408:E408)</f>
        <v>46101</v>
      </c>
      <c r="G408" t="str">
        <f t="shared" si="25"/>
        <v>MES</v>
      </c>
      <c r="H408" s="35" t="str">
        <f t="shared" si="26"/>
        <v>CME_MINI</v>
      </c>
      <c r="I408" t="str" cm="1">
        <f t="array" ref="I408">IFERROR(INDEX(Spreads!A:A,MATCH(1, (Spreads!E:E=G408)*(Spreads!C:C&gt;=F408), 0)),"---")</f>
        <v>SPYF-3.26</v>
      </c>
      <c r="J408" s="40">
        <f>IFERROR(INDEX(Spreads!C:C, MATCH('CME Data'!I408,Spreads!A:A,0)),"---")</f>
        <v>46101</v>
      </c>
      <c r="K408" s="40">
        <f t="shared" si="27"/>
        <v>46101</v>
      </c>
    </row>
    <row r="409" spans="1:11" x14ac:dyDescent="0.2">
      <c r="A409" s="18" t="s">
        <v>548</v>
      </c>
      <c r="B409" s="2">
        <v>45737</v>
      </c>
      <c r="C409" s="2">
        <v>46191</v>
      </c>
      <c r="D409" s="2">
        <v>46191</v>
      </c>
      <c r="E409" s="22" t="s">
        <v>422</v>
      </c>
      <c r="F409" s="2">
        <f t="shared" si="28"/>
        <v>46191</v>
      </c>
      <c r="G409" t="str">
        <f t="shared" si="25"/>
        <v>MES</v>
      </c>
      <c r="H409" s="35" t="str">
        <f t="shared" si="26"/>
        <v>CME_MINI</v>
      </c>
      <c r="I409" t="str" cm="1">
        <f t="array" ref="I409">IFERROR(INDEX(Spreads!A:A,MATCH(1, (Spreads!E:E=G409)*(Spreads!C:C&gt;=F409), 0)),"---")</f>
        <v>SPYF-6.26</v>
      </c>
      <c r="J409" s="40">
        <f>IFERROR(INDEX(Spreads!C:C, MATCH('CME Data'!I409,Spreads!A:A,0)),"---")</f>
        <v>46192</v>
      </c>
      <c r="K409" s="40">
        <f t="shared" si="27"/>
        <v>46191</v>
      </c>
    </row>
    <row r="410" spans="1:11" x14ac:dyDescent="0.2">
      <c r="A410" s="18" t="s">
        <v>549</v>
      </c>
      <c r="B410" s="2">
        <v>45828</v>
      </c>
      <c r="C410" s="2">
        <v>46283</v>
      </c>
      <c r="D410" s="2">
        <v>46283</v>
      </c>
      <c r="E410" s="22" t="s">
        <v>422</v>
      </c>
      <c r="F410" s="2">
        <f t="shared" si="28"/>
        <v>46283</v>
      </c>
      <c r="G410" t="str">
        <f t="shared" si="25"/>
        <v>MES</v>
      </c>
      <c r="H410" s="35" t="str">
        <f t="shared" si="26"/>
        <v>CME_MINI</v>
      </c>
      <c r="I410" t="str" cm="1">
        <f t="array" ref="I410">IFERROR(INDEX(Spreads!A:A,MATCH(1, (Spreads!E:E=G410)*(Spreads!C:C&gt;=F410), 0)),"---")</f>
        <v>SPYF-9.26</v>
      </c>
      <c r="J410" s="40">
        <f>IFERROR(INDEX(Spreads!C:C, MATCH('CME Data'!I410,Spreads!A:A,0)),"---")</f>
        <v>46283</v>
      </c>
      <c r="K410" s="40">
        <f t="shared" si="27"/>
        <v>46283</v>
      </c>
    </row>
    <row r="411" spans="1:11" x14ac:dyDescent="0.2">
      <c r="A411" s="18" t="s">
        <v>550</v>
      </c>
      <c r="B411" s="2">
        <v>45919</v>
      </c>
      <c r="C411" s="2">
        <v>46374</v>
      </c>
      <c r="D411" s="2">
        <v>46374</v>
      </c>
      <c r="E411" s="22" t="s">
        <v>422</v>
      </c>
      <c r="F411" s="2">
        <f t="shared" si="28"/>
        <v>46374</v>
      </c>
      <c r="G411" t="str">
        <f t="shared" si="25"/>
        <v>MES</v>
      </c>
      <c r="H411" s="35" t="str">
        <f t="shared" si="26"/>
        <v>CME_MINI</v>
      </c>
      <c r="I411" t="str" cm="1">
        <f t="array" ref="I411">IFERROR(INDEX(Spreads!A:A,MATCH(1, (Spreads!E:E=G411)*(Spreads!C:C&gt;=F411), 0)),"---")</f>
        <v>SPYF-12.26</v>
      </c>
      <c r="J411" s="40">
        <f>IFERROR(INDEX(Spreads!C:C, MATCH('CME Data'!I411,Spreads!A:A,0)),"---")</f>
        <v>46374</v>
      </c>
      <c r="K411" s="40">
        <f t="shared" si="27"/>
        <v>46374</v>
      </c>
    </row>
    <row r="412" spans="1:11" x14ac:dyDescent="0.2">
      <c r="A412" s="18" t="s">
        <v>551</v>
      </c>
      <c r="B412" s="2">
        <v>46010</v>
      </c>
      <c r="C412" s="2">
        <v>46465</v>
      </c>
      <c r="D412" s="2">
        <v>46465</v>
      </c>
      <c r="E412" s="22" t="s">
        <v>422</v>
      </c>
      <c r="F412" s="2">
        <f t="shared" si="28"/>
        <v>46465</v>
      </c>
      <c r="G412" t="str">
        <f t="shared" si="25"/>
        <v>MES</v>
      </c>
      <c r="H412" s="35" t="str">
        <f t="shared" si="26"/>
        <v>CME_MINI</v>
      </c>
      <c r="I412" t="str" cm="1">
        <f t="array" ref="I412">IFERROR(INDEX(Spreads!A:A,MATCH(1, (Spreads!E:E=G412)*(Spreads!C:C&gt;=F412), 0)),"---")</f>
        <v>---</v>
      </c>
      <c r="J412" s="40" t="str">
        <f>IFERROR(INDEX(Spreads!C:C, MATCH('CME Data'!I412,Spreads!A:A,0)),"---")</f>
        <v>---</v>
      </c>
      <c r="K412" s="40">
        <f t="shared" si="27"/>
        <v>46465</v>
      </c>
    </row>
    <row r="413" spans="1:11" x14ac:dyDescent="0.2">
      <c r="A413" s="18" t="s">
        <v>552</v>
      </c>
      <c r="B413" s="2">
        <v>46101</v>
      </c>
      <c r="C413" s="2">
        <v>46555</v>
      </c>
      <c r="D413" s="2">
        <v>46555</v>
      </c>
      <c r="E413" s="22" t="s">
        <v>422</v>
      </c>
      <c r="F413" s="2">
        <f t="shared" si="28"/>
        <v>46555</v>
      </c>
      <c r="G413" t="str">
        <f t="shared" si="25"/>
        <v>MES</v>
      </c>
      <c r="H413" s="35" t="str">
        <f t="shared" si="26"/>
        <v>CME_MINI</v>
      </c>
      <c r="I413" t="str" cm="1">
        <f t="array" ref="I413">IFERROR(INDEX(Spreads!A:A,MATCH(1, (Spreads!E:E=G413)*(Spreads!C:C&gt;=F413), 0)),"---")</f>
        <v>---</v>
      </c>
      <c r="J413" s="40" t="str">
        <f>IFERROR(INDEX(Spreads!C:C, MATCH('CME Data'!I413,Spreads!A:A,0)),"---")</f>
        <v>---</v>
      </c>
      <c r="K413" s="40">
        <f t="shared" si="27"/>
        <v>46555</v>
      </c>
    </row>
    <row r="414" spans="1:11" x14ac:dyDescent="0.2">
      <c r="A414" s="18" t="s">
        <v>554</v>
      </c>
      <c r="B414" s="2">
        <v>45646</v>
      </c>
      <c r="C414" s="2">
        <v>46101</v>
      </c>
      <c r="D414" s="2">
        <v>46101</v>
      </c>
      <c r="E414" s="22" t="s">
        <v>422</v>
      </c>
      <c r="F414" s="2">
        <f t="shared" si="28"/>
        <v>46101</v>
      </c>
      <c r="G414" t="str">
        <f t="shared" si="25"/>
        <v>MNQ</v>
      </c>
      <c r="H414" s="35" t="str">
        <f t="shared" si="26"/>
        <v>CME_MINI</v>
      </c>
      <c r="I414" t="str" cm="1">
        <f t="array" ref="I414">IFERROR(INDEX(Spreads!A:A,MATCH(1, (Spreads!E:E=G414)*(Spreads!C:C&gt;=F414), 0)),"---")</f>
        <v>NASD-3.26</v>
      </c>
      <c r="J414" s="40">
        <f>IFERROR(INDEX(Spreads!C:C, MATCH('CME Data'!I414,Spreads!A:A,0)),"---")</f>
        <v>46101</v>
      </c>
      <c r="K414" s="40">
        <f t="shared" si="27"/>
        <v>46101</v>
      </c>
    </row>
    <row r="415" spans="1:11" x14ac:dyDescent="0.2">
      <c r="A415" s="18" t="s">
        <v>555</v>
      </c>
      <c r="B415" s="2">
        <v>45737</v>
      </c>
      <c r="C415" s="2">
        <v>46191</v>
      </c>
      <c r="D415" s="2">
        <v>46191</v>
      </c>
      <c r="E415" s="22" t="s">
        <v>422</v>
      </c>
      <c r="F415" s="2">
        <f t="shared" si="28"/>
        <v>46191</v>
      </c>
      <c r="G415" t="str">
        <f t="shared" si="25"/>
        <v>MNQ</v>
      </c>
      <c r="H415" s="35" t="str">
        <f t="shared" si="26"/>
        <v>CME_MINI</v>
      </c>
      <c r="I415" t="str" cm="1">
        <f t="array" ref="I415">IFERROR(INDEX(Spreads!A:A,MATCH(1, (Spreads!E:E=G415)*(Spreads!C:C&gt;=F415), 0)),"---")</f>
        <v>NASD-6.26</v>
      </c>
      <c r="J415" s="40">
        <f>IFERROR(INDEX(Spreads!C:C, MATCH('CME Data'!I415,Spreads!A:A,0)),"---")</f>
        <v>46192</v>
      </c>
      <c r="K415" s="40">
        <f t="shared" si="27"/>
        <v>46191</v>
      </c>
    </row>
    <row r="416" spans="1:11" x14ac:dyDescent="0.2">
      <c r="A416" s="18" t="s">
        <v>556</v>
      </c>
      <c r="B416" s="2">
        <v>45828</v>
      </c>
      <c r="C416" s="2">
        <v>46283</v>
      </c>
      <c r="D416" s="2">
        <v>46283</v>
      </c>
      <c r="E416" s="22" t="s">
        <v>422</v>
      </c>
      <c r="F416" s="2">
        <f t="shared" si="28"/>
        <v>46283</v>
      </c>
      <c r="G416" t="str">
        <f t="shared" si="25"/>
        <v>MNQ</v>
      </c>
      <c r="H416" s="35" t="str">
        <f t="shared" si="26"/>
        <v>CME_MINI</v>
      </c>
      <c r="I416" t="str" cm="1">
        <f t="array" ref="I416">IFERROR(INDEX(Spreads!A:A,MATCH(1, (Spreads!E:E=G416)*(Spreads!C:C&gt;=F416), 0)),"---")</f>
        <v>NASD-9.26</v>
      </c>
      <c r="J416" s="40">
        <f>IFERROR(INDEX(Spreads!C:C, MATCH('CME Data'!I416,Spreads!A:A,0)),"---")</f>
        <v>46283</v>
      </c>
      <c r="K416" s="40">
        <f t="shared" si="27"/>
        <v>46283</v>
      </c>
    </row>
    <row r="417" spans="1:11" x14ac:dyDescent="0.2">
      <c r="A417" s="18" t="s">
        <v>557</v>
      </c>
      <c r="B417" s="2">
        <v>45919</v>
      </c>
      <c r="C417" s="2">
        <v>46374</v>
      </c>
      <c r="D417" s="2">
        <v>46374</v>
      </c>
      <c r="E417" s="22" t="s">
        <v>422</v>
      </c>
      <c r="F417" s="2">
        <f t="shared" si="28"/>
        <v>46374</v>
      </c>
      <c r="G417" t="str">
        <f t="shared" si="25"/>
        <v>MNQ</v>
      </c>
      <c r="H417" s="35" t="str">
        <f t="shared" si="26"/>
        <v>CME_MINI</v>
      </c>
      <c r="I417" t="str" cm="1">
        <f t="array" ref="I417">IFERROR(INDEX(Spreads!A:A,MATCH(1, (Spreads!E:E=G417)*(Spreads!C:C&gt;=F417), 0)),"---")</f>
        <v>NASD-12.26</v>
      </c>
      <c r="J417" s="40">
        <f>IFERROR(INDEX(Spreads!C:C, MATCH('CME Data'!I417,Spreads!A:A,0)),"---")</f>
        <v>46374</v>
      </c>
      <c r="K417" s="40">
        <f t="shared" si="27"/>
        <v>46374</v>
      </c>
    </row>
    <row r="418" spans="1:11" x14ac:dyDescent="0.2">
      <c r="A418" s="18" t="s">
        <v>558</v>
      </c>
      <c r="B418" s="2">
        <v>46010</v>
      </c>
      <c r="C418" s="2">
        <v>46465</v>
      </c>
      <c r="D418" s="2">
        <v>46465</v>
      </c>
      <c r="E418" s="22" t="s">
        <v>422</v>
      </c>
      <c r="F418" s="2">
        <f t="shared" si="28"/>
        <v>46465</v>
      </c>
      <c r="G418" t="str">
        <f t="shared" si="25"/>
        <v>MNQ</v>
      </c>
      <c r="H418" s="35" t="str">
        <f t="shared" si="26"/>
        <v>CME_MINI</v>
      </c>
      <c r="I418" t="str" cm="1">
        <f t="array" ref="I418">IFERROR(INDEX(Spreads!A:A,MATCH(1, (Spreads!E:E=G418)*(Spreads!C:C&gt;=F418), 0)),"---")</f>
        <v>---</v>
      </c>
      <c r="J418" s="40" t="str">
        <f>IFERROR(INDEX(Spreads!C:C, MATCH('CME Data'!I418,Spreads!A:A,0)),"---")</f>
        <v>---</v>
      </c>
      <c r="K418" s="40">
        <f t="shared" si="27"/>
        <v>46465</v>
      </c>
    </row>
    <row r="419" spans="1:11" x14ac:dyDescent="0.2">
      <c r="A419" s="18" t="s">
        <v>559</v>
      </c>
      <c r="B419" s="2">
        <v>46101</v>
      </c>
      <c r="C419" s="2">
        <v>46555</v>
      </c>
      <c r="D419" s="2">
        <v>46555</v>
      </c>
      <c r="E419" s="22" t="s">
        <v>422</v>
      </c>
      <c r="F419" s="2">
        <f t="shared" si="28"/>
        <v>46555</v>
      </c>
      <c r="G419" t="str">
        <f t="shared" si="25"/>
        <v>MNQ</v>
      </c>
      <c r="H419" s="35" t="str">
        <f t="shared" si="26"/>
        <v>CME_MINI</v>
      </c>
      <c r="I419" t="str" cm="1">
        <f t="array" ref="I419">IFERROR(INDEX(Spreads!A:A,MATCH(1, (Spreads!E:E=G419)*(Spreads!C:C&gt;=F419), 0)),"---")</f>
        <v>---</v>
      </c>
      <c r="J419" s="40" t="str">
        <f>IFERROR(INDEX(Spreads!C:C, MATCH('CME Data'!I419,Spreads!A:A,0)),"---")</f>
        <v>---</v>
      </c>
      <c r="K419" s="40">
        <f t="shared" si="27"/>
        <v>46555</v>
      </c>
    </row>
    <row r="420" spans="1:11" x14ac:dyDescent="0.2">
      <c r="A420" s="18" t="s">
        <v>560</v>
      </c>
      <c r="B420" s="2">
        <v>44970</v>
      </c>
      <c r="C420" s="2">
        <v>46097</v>
      </c>
      <c r="D420" s="2">
        <v>46097</v>
      </c>
      <c r="E420" s="22" t="s">
        <v>422</v>
      </c>
      <c r="F420" s="2">
        <f t="shared" si="28"/>
        <v>46097</v>
      </c>
      <c r="G420" t="str">
        <f t="shared" si="25"/>
        <v>CNH</v>
      </c>
      <c r="H420" s="35" t="str">
        <f t="shared" si="26"/>
        <v>CME</v>
      </c>
      <c r="I420" t="str" cm="1">
        <f t="array" ref="I420">IFERROR(INDEX(Spreads!A:A,MATCH(1, (Spreads!E:E=G420)*(Spreads!C:C&gt;=F420), 0)),"---")</f>
        <v>UCNY-3.26</v>
      </c>
      <c r="J420" s="40">
        <f>IFERROR(INDEX(Spreads!C:C, MATCH('CME Data'!I420,Spreads!A:A,0)),"---")</f>
        <v>46100</v>
      </c>
      <c r="K420" s="40">
        <f t="shared" si="27"/>
        <v>46097</v>
      </c>
    </row>
    <row r="421" spans="1:11" x14ac:dyDescent="0.2">
      <c r="A421" s="18" t="s">
        <v>561</v>
      </c>
      <c r="B421" s="2">
        <v>45061</v>
      </c>
      <c r="C421" s="2">
        <v>46188</v>
      </c>
      <c r="D421" s="2">
        <v>46188</v>
      </c>
      <c r="E421" s="22" t="s">
        <v>422</v>
      </c>
      <c r="F421" s="2">
        <f t="shared" si="28"/>
        <v>46188</v>
      </c>
      <c r="G421" t="str">
        <f t="shared" si="25"/>
        <v>CNH</v>
      </c>
      <c r="H421" s="35" t="str">
        <f t="shared" si="26"/>
        <v>CME</v>
      </c>
      <c r="I421" t="str" cm="1">
        <f t="array" ref="I421">IFERROR(INDEX(Spreads!A:A,MATCH(1, (Spreads!E:E=G421)*(Spreads!C:C&gt;=F421), 0)),"---")</f>
        <v>UCNY-6.26</v>
      </c>
      <c r="J421" s="40">
        <f>IFERROR(INDEX(Spreads!C:C, MATCH('CME Data'!I421,Spreads!A:A,0)),"---")</f>
        <v>46191</v>
      </c>
      <c r="K421" s="40">
        <f t="shared" si="27"/>
        <v>46188</v>
      </c>
    </row>
    <row r="422" spans="1:11" x14ac:dyDescent="0.2">
      <c r="A422" s="18" t="s">
        <v>562</v>
      </c>
      <c r="B422" s="2">
        <v>45152</v>
      </c>
      <c r="C422" s="2">
        <v>46279</v>
      </c>
      <c r="D422" s="2">
        <v>46279</v>
      </c>
      <c r="E422" s="22" t="s">
        <v>422</v>
      </c>
      <c r="F422" s="2">
        <f t="shared" si="28"/>
        <v>46279</v>
      </c>
      <c r="G422" t="str">
        <f t="shared" si="25"/>
        <v>CNH</v>
      </c>
      <c r="H422" s="35" t="str">
        <f t="shared" si="26"/>
        <v>CME</v>
      </c>
      <c r="I422" t="str" cm="1">
        <f t="array" ref="I422">IFERROR(INDEX(Spreads!A:A,MATCH(1, (Spreads!E:E=G422)*(Spreads!C:C&gt;=F422), 0)),"---")</f>
        <v>UCNY-9.26</v>
      </c>
      <c r="J422" s="40">
        <f>IFERROR(INDEX(Spreads!C:C, MATCH('CME Data'!I422,Spreads!A:A,0)),"---")</f>
        <v>46282</v>
      </c>
      <c r="K422" s="40">
        <f t="shared" si="27"/>
        <v>46279</v>
      </c>
    </row>
    <row r="423" spans="1:11" x14ac:dyDescent="0.2">
      <c r="A423" s="18" t="s">
        <v>563</v>
      </c>
      <c r="B423" s="2">
        <v>45243</v>
      </c>
      <c r="C423" s="2">
        <v>46370</v>
      </c>
      <c r="D423" s="2">
        <v>46370</v>
      </c>
      <c r="E423" s="22" t="s">
        <v>422</v>
      </c>
      <c r="F423" s="2">
        <f t="shared" si="28"/>
        <v>46370</v>
      </c>
      <c r="G423" t="str">
        <f t="shared" si="25"/>
        <v>CNH</v>
      </c>
      <c r="H423" s="35" t="str">
        <f t="shared" si="26"/>
        <v>CME</v>
      </c>
      <c r="I423" t="str" cm="1">
        <f t="array" ref="I423">IFERROR(INDEX(Spreads!A:A,MATCH(1, (Spreads!E:E=G423)*(Spreads!C:C&gt;=F423), 0)),"---")</f>
        <v>UCNY-12.26</v>
      </c>
      <c r="J423" s="40">
        <f>IFERROR(INDEX(Spreads!C:C, MATCH('CME Data'!I423,Spreads!A:A,0)),"---")</f>
        <v>46373</v>
      </c>
      <c r="K423" s="40">
        <f t="shared" si="27"/>
        <v>46370</v>
      </c>
    </row>
    <row r="424" spans="1:11" x14ac:dyDescent="0.2">
      <c r="A424" s="18" t="s">
        <v>564</v>
      </c>
      <c r="B424" s="2">
        <v>45338</v>
      </c>
      <c r="C424" s="2">
        <v>46461</v>
      </c>
      <c r="D424" s="2">
        <v>46461</v>
      </c>
      <c r="E424" s="22" t="s">
        <v>422</v>
      </c>
      <c r="F424" s="2">
        <f t="shared" si="28"/>
        <v>46461</v>
      </c>
      <c r="G424" t="str">
        <f t="shared" si="25"/>
        <v>CNH</v>
      </c>
      <c r="H424" s="35" t="str">
        <f t="shared" si="26"/>
        <v>CME</v>
      </c>
      <c r="I424" t="str" cm="1">
        <f t="array" ref="I424">IFERROR(INDEX(Spreads!A:A,MATCH(1, (Spreads!E:E=G424)*(Spreads!C:C&gt;=F424), 0)),"---")</f>
        <v>---</v>
      </c>
      <c r="J424" s="40" t="str">
        <f>IFERROR(INDEX(Spreads!C:C, MATCH('CME Data'!I424,Spreads!A:A,0)),"---")</f>
        <v>---</v>
      </c>
      <c r="K424" s="40">
        <f t="shared" si="27"/>
        <v>46461</v>
      </c>
    </row>
    <row r="425" spans="1:11" x14ac:dyDescent="0.2">
      <c r="A425" s="18" t="s">
        <v>565</v>
      </c>
      <c r="B425" s="2">
        <v>45425</v>
      </c>
      <c r="C425" s="2">
        <v>46552</v>
      </c>
      <c r="D425" s="2">
        <v>46552</v>
      </c>
      <c r="E425" s="22" t="s">
        <v>422</v>
      </c>
      <c r="F425" s="2">
        <f t="shared" si="28"/>
        <v>46552</v>
      </c>
      <c r="G425" t="str">
        <f t="shared" si="25"/>
        <v>CNH</v>
      </c>
      <c r="H425" s="35" t="str">
        <f t="shared" si="26"/>
        <v>CME</v>
      </c>
      <c r="I425" t="str" cm="1">
        <f t="array" ref="I425">IFERROR(INDEX(Spreads!A:A,MATCH(1, (Spreads!E:E=G425)*(Spreads!C:C&gt;=F425), 0)),"---")</f>
        <v>---</v>
      </c>
      <c r="J425" s="40" t="str">
        <f>IFERROR(INDEX(Spreads!C:C, MATCH('CME Data'!I425,Spreads!A:A,0)),"---")</f>
        <v>---</v>
      </c>
      <c r="K425" s="40">
        <f t="shared" si="27"/>
        <v>46552</v>
      </c>
    </row>
    <row r="426" spans="1:11" x14ac:dyDescent="0.2">
      <c r="A426" s="18" t="s">
        <v>566</v>
      </c>
      <c r="B426" s="2">
        <v>45523</v>
      </c>
      <c r="C426" s="2">
        <v>46643</v>
      </c>
      <c r="D426" s="2">
        <v>46643</v>
      </c>
      <c r="E426" s="22" t="s">
        <v>422</v>
      </c>
      <c r="F426" s="2">
        <f t="shared" si="28"/>
        <v>46643</v>
      </c>
      <c r="G426" t="str">
        <f t="shared" si="25"/>
        <v>CNH</v>
      </c>
      <c r="H426" s="35" t="str">
        <f t="shared" si="26"/>
        <v>CME</v>
      </c>
      <c r="I426" t="str" cm="1">
        <f t="array" ref="I426">IFERROR(INDEX(Spreads!A:A,MATCH(1, (Spreads!E:E=G426)*(Spreads!C:C&gt;=F426), 0)),"---")</f>
        <v>---</v>
      </c>
      <c r="J426" s="40" t="str">
        <f>IFERROR(INDEX(Spreads!C:C, MATCH('CME Data'!I426,Spreads!A:A,0)),"---")</f>
        <v>---</v>
      </c>
      <c r="K426" s="40">
        <f t="shared" si="27"/>
        <v>46643</v>
      </c>
    </row>
  </sheetData>
  <autoFilter ref="A2:G426" xr:uid="{DF12E983-9A03-4C87-9EEC-C93537213DFF}"/>
  <mergeCells count="4">
    <mergeCell ref="A1:E1"/>
    <mergeCell ref="F1:H1"/>
    <mergeCell ref="N1:O1"/>
    <mergeCell ref="I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Spreads</vt:lpstr>
      <vt:lpstr>AComb</vt:lpstr>
      <vt:lpstr>Backup</vt:lpstr>
      <vt:lpstr>CME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Aleksei Moroz</dc:creator>
  <cp:lastModifiedBy>Aleksei Moroz</cp:lastModifiedBy>
  <dcterms:created xsi:type="dcterms:W3CDTF">2026-03-03T13:23:23Z</dcterms:created>
  <dcterms:modified xsi:type="dcterms:W3CDTF">2026-03-07T19:40:18Z</dcterms:modified>
</cp:coreProperties>
</file>